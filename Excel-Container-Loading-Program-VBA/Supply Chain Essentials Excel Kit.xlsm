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D:\My VS Project\Stuffing\"/>
    </mc:Choice>
  </mc:AlternateContent>
  <xr:revisionPtr revIDLastSave="0" documentId="13_ncr:1_{C6C8DC6A-DB01-4A63-B268-46B305069C6E}" xr6:coauthVersionLast="47" xr6:coauthVersionMax="47" xr10:uidLastSave="{00000000-0000-0000-0000-000000000000}"/>
  <bookViews>
    <workbookView xWindow="-108" yWindow="-108" windowWidth="19416" windowHeight="10416" firstSheet="1" activeTab="4" xr2:uid="{00000000-000D-0000-FFFF-FFFF00000000}"/>
  </bookViews>
  <sheets>
    <sheet name="Contents" sheetId="5" r:id="rId1"/>
    <sheet name="Disclaimer" sheetId="6" r:id="rId2"/>
    <sheet name="TimeZone" sheetId="7" r:id="rId3"/>
    <sheet name="Track" sheetId="1" r:id="rId4"/>
    <sheet name="Container Calculator" sheetId="8" r:id="rId5"/>
    <sheet name="UnitConversions" sheetId="9" r:id="rId6"/>
    <sheet name="Ex-Rate" sheetId="10" r:id="rId7"/>
  </sheets>
  <functionGroups builtInGroupCount="19"/>
  <definedNames>
    <definedName name="_xleta.NA" hidden="1" xlm="1">#NAME?</definedName>
    <definedName name="_xleta.TIME" hidden="1" xlm="1">#NAME?</definedName>
    <definedName name="ExternalData_1" localSheetId="2" hidden="1">TimeZone!$L$1:$V$663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6" i="8" l="1"/>
  <c r="V17" i="8"/>
  <c r="J4" i="8"/>
  <c r="I4" i="8"/>
  <c r="F23" i="9"/>
  <c r="E23" i="9"/>
  <c r="D23" i="9"/>
  <c r="C23" i="9"/>
  <c r="B23" i="9"/>
  <c r="F22" i="9"/>
  <c r="E22" i="9"/>
  <c r="D22" i="9"/>
  <c r="C22" i="9"/>
  <c r="B22" i="9"/>
  <c r="F21" i="9"/>
  <c r="E21" i="9"/>
  <c r="D21" i="9"/>
  <c r="C21" i="9"/>
  <c r="B21" i="9"/>
  <c r="F20" i="9"/>
  <c r="E20" i="9"/>
  <c r="D20" i="9"/>
  <c r="C20" i="9"/>
  <c r="B20" i="9"/>
  <c r="F19" i="9"/>
  <c r="E19" i="9"/>
  <c r="D19" i="9"/>
  <c r="C19" i="9"/>
  <c r="B19" i="9"/>
  <c r="F18" i="9"/>
  <c r="E18" i="9"/>
  <c r="D18" i="9"/>
  <c r="C18" i="9"/>
  <c r="B18" i="9"/>
  <c r="F17" i="9"/>
  <c r="E17" i="9"/>
  <c r="D17" i="9"/>
  <c r="C17" i="9"/>
  <c r="B17" i="9"/>
  <c r="F16" i="9"/>
  <c r="E16" i="9"/>
  <c r="D16" i="9"/>
  <c r="C16" i="9"/>
  <c r="B16" i="9"/>
  <c r="F15" i="9"/>
  <c r="E15" i="9"/>
  <c r="D15" i="9"/>
  <c r="C15" i="9"/>
  <c r="B15" i="9"/>
  <c r="F14" i="9"/>
  <c r="E14" i="9"/>
  <c r="D14" i="9"/>
  <c r="C14" i="9"/>
  <c r="B14" i="9"/>
  <c r="F13" i="9"/>
  <c r="E13" i="9"/>
  <c r="D13" i="9"/>
  <c r="C13" i="9"/>
  <c r="B13" i="9"/>
  <c r="F12" i="9"/>
  <c r="E12" i="9"/>
  <c r="D12" i="9"/>
  <c r="C12" i="9"/>
  <c r="B12" i="9"/>
  <c r="F11" i="9"/>
  <c r="E11" i="9"/>
  <c r="D11" i="9"/>
  <c r="C11" i="9"/>
  <c r="B11" i="9"/>
  <c r="F10" i="9"/>
  <c r="E10" i="9"/>
  <c r="D10" i="9"/>
  <c r="C10" i="9"/>
  <c r="B10" i="9"/>
  <c r="F9" i="9"/>
  <c r="E9" i="9"/>
  <c r="D9" i="9"/>
  <c r="C9" i="9"/>
  <c r="B9" i="9"/>
  <c r="F8" i="9"/>
  <c r="E8" i="9"/>
  <c r="D8" i="9"/>
  <c r="C8" i="9"/>
  <c r="B8" i="9"/>
  <c r="F7" i="9"/>
  <c r="E7" i="9"/>
  <c r="D7" i="9"/>
  <c r="C7" i="9"/>
  <c r="B7" i="9"/>
  <c r="F6" i="9"/>
  <c r="E6" i="9"/>
  <c r="D6" i="9"/>
  <c r="C6" i="9"/>
  <c r="B6" i="9"/>
  <c r="A5" i="9"/>
  <c r="C3" i="1"/>
  <c r="G8" i="7"/>
  <c r="G9" i="7"/>
  <c r="G10" i="7"/>
  <c r="G11" i="7"/>
  <c r="G12" i="7"/>
  <c r="G13" i="7"/>
  <c r="G14" i="7"/>
  <c r="G15" i="7"/>
  <c r="G16" i="7"/>
  <c r="G7" i="7"/>
  <c r="F8" i="7"/>
  <c r="F9" i="7"/>
  <c r="F10" i="7"/>
  <c r="F11" i="7"/>
  <c r="F12" i="7"/>
  <c r="F13" i="7"/>
  <c r="F14" i="7"/>
  <c r="F15" i="7"/>
  <c r="F16" i="7"/>
  <c r="F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Steven Li</author>
  </authors>
  <commentList>
    <comment ref="P12" authorId="0" shapeId="0" xr:uid="{201FC599-BDBA-4A5A-879A-F4FEA77CB576}">
      <text>
        <r>
          <rPr>
            <sz val="9"/>
            <color indexed="81"/>
            <rFont val="Tahoma"/>
            <family val="2"/>
          </rPr>
          <t xml:space="preserve">Proportion of the center of gravity position in the length direction
Divide the distance from the center of gravity of the cargo to one end of the cargo (usually select the starting end in the length direction) by the total length of the cargo, and the resulting value is the proportion of the center of gravity position in the length direction. For example, if the total length of the cargo is 10 meters and the center of gravity is 3 meters away from the starting end, then the proportion of the center of gravity position in the length direction is  3÷10 = 0.3 .
</t>
        </r>
      </text>
    </comment>
    <comment ref="Q12" authorId="0" shapeId="0" xr:uid="{35B4FDA1-8F1B-4540-972D-A1FCE0878884}">
      <text>
        <r>
          <rPr>
            <sz val="9"/>
            <color indexed="81"/>
            <rFont val="Tahoma"/>
            <family val="2"/>
          </rPr>
          <t xml:space="preserve">Proportion of the center of gravity position in the width direction
Divide the distance from the center of gravity of the cargo to one side of the cargo (usually select the starting side in the width direction) by the total width of the cargo, and the resulting value is the proportion of the center of gravity position in the width direction. For example, if the total width of the cargo is 5 meters and the center of gravity is 2 meters away from the starting side, then the proportion of the center of gravity position in the width direction is  2÷5 = 0.4 .
</t>
        </r>
      </text>
    </comment>
    <comment ref="R12" authorId="0" shapeId="0" xr:uid="{4EEF913B-D3F5-4E7D-AC60-D1B9A579F6EA}">
      <text>
        <r>
          <rPr>
            <sz val="9"/>
            <color indexed="81"/>
            <rFont val="Tahoma"/>
            <family val="2"/>
          </rPr>
          <t xml:space="preserve">Proportion of the center of gravity position in the height direction
Divide the distance from the center of gravity of the cargo to the bottom of the cargo by the total height of the cargo, and the resulting value is the proportion of the center of gravity position in the height direction. For example, if the total height of the cargo is 8 meters and the center of gravity is 3.2 meters away from the bottom, then the proportion of the center of gravity position in the height direction is  3.2÷8 = 0.4 .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C6A2781-255B-403B-9987-B6718920F8EA}" keepAlive="1" name="Query - vvoTimeZone" description="Connection to the 'vvoTimeZone' query in the workbook." type="5" refreshedVersion="8" background="1" saveData="1">
    <dbPr connection="Provider=Microsoft.Mashup.OleDb.1;Data Source=$Workbook$;Location=vvoTimeZone;Extended Properties=&quot;&quot;" command="SELECT * FROM [vvoTimeZone]"/>
  </connection>
</connections>
</file>

<file path=xl/sharedStrings.xml><?xml version="1.0" encoding="utf-8"?>
<sst xmlns="http://schemas.openxmlformats.org/spreadsheetml/2006/main" count="8509" uniqueCount="2151">
  <si>
    <t>马士基 (Maersk)</t>
  </si>
  <si>
    <t>https://www.maersk.com/tracking/#{0}</t>
  </si>
  <si>
    <t>地中海航运 (MSC)</t>
  </si>
  <si>
    <t>达飞轮船 (CMA CGM)</t>
  </si>
  <si>
    <t>中远海运 (COSCO)</t>
  </si>
  <si>
    <t>https://elines.coscoshipping.com/ebusiness/cargotracking/search?trackingType=BL&amp;trackingNumber={0}</t>
  </si>
  <si>
    <t>长荣海运 (Evergreen)</t>
  </si>
  <si>
    <t>https://ct.shipmentlink.com/servlet/TDB1_CargoTracking.do?BLNo={0}</t>
  </si>
  <si>
    <t>赫伯罗特 (Hapag-Lloyd)</t>
  </si>
  <si>
    <t>东方海外 (OOCL)</t>
  </si>
  <si>
    <t>阳明海运 (Yang Ming)</t>
  </si>
  <si>
    <t>https://www.yangming.com/e-service/track_trace/track_trace_cargo_tracking.aspx?type=BL&amp;no={0}</t>
  </si>
  <si>
    <t>查询URL模板</t>
  </si>
  <si>
    <t>船公司</t>
  </si>
  <si>
    <t xml:space="preserve">MSCU987654 </t>
  </si>
  <si>
    <t>自动填充</t>
  </si>
  <si>
    <t>操作提示</t>
  </si>
  <si>
    <t>是</t>
  </si>
  <si>
    <t>否</t>
  </si>
  <si>
    <t>需手动粘贴单号到输入框</t>
  </si>
  <si>
    <t>现代商船 (HMM)</t>
  </si>
  <si>
    <t>万海航运 (Wan Hai)</t>
  </si>
  <si>
    <t>太平船务 (PIL)</t>
  </si>
  <si>
    <t>https://www.pilship.com/track-your-shipment?search_type=bill&amp;search_no={0}</t>
  </si>
  <si>
    <t>以星航运 (ZIM)</t>
  </si>
  <si>
    <t>https://www.zim.com/tools/track-a-shipment</t>
  </si>
  <si>
    <t>https://www.hmm21.com/company.do</t>
  </si>
  <si>
    <t>https://www.cma-cgm.com/ebusiness/tracking</t>
  </si>
  <si>
    <t>https://www.msc.com/en/track-a-shipment</t>
  </si>
  <si>
    <t>支持自动跳转并填充单号</t>
  </si>
  <si>
    <t>https://www.wanhai.com/views/Main.xhtml</t>
  </si>
  <si>
    <t>alternativeName</t>
  </si>
  <si>
    <t>group</t>
  </si>
  <si>
    <t>continentCode</t>
  </si>
  <si>
    <t>continentName</t>
  </si>
  <si>
    <t>countryName</t>
  </si>
  <si>
    <t>countryCode</t>
  </si>
  <si>
    <t>rawOffsetInMinutes</t>
  </si>
  <si>
    <t>abbreviation</t>
  </si>
  <si>
    <t>rawFormat</t>
  </si>
  <si>
    <t>Niue Time</t>
  </si>
  <si>
    <t>Pacific/Niue</t>
  </si>
  <si>
    <t>OC</t>
  </si>
  <si>
    <t>Oceania</t>
  </si>
  <si>
    <t>Niue</t>
  </si>
  <si>
    <t>NU</t>
  </si>
  <si>
    <t>NUT</t>
  </si>
  <si>
    <t>-11:00 Niue Time - Alofi</t>
  </si>
  <si>
    <t>Samoa Time</t>
  </si>
  <si>
    <t>Pacific/Midway</t>
  </si>
  <si>
    <t>United States Minor Outlying Islands</t>
  </si>
  <si>
    <t>UM</t>
  </si>
  <si>
    <t>SST</t>
  </si>
  <si>
    <t>-11:00 Samoa Time - Midway</t>
  </si>
  <si>
    <t>Pacific/Pago_Pago</t>
  </si>
  <si>
    <t>American Samoa</t>
  </si>
  <si>
    <t>AS</t>
  </si>
  <si>
    <t>-11:00 Samoa Time - Pago Pago</t>
  </si>
  <si>
    <t>US/Samoa</t>
  </si>
  <si>
    <t>Pacific/Samoa</t>
  </si>
  <si>
    <t>Cook Islands Time</t>
  </si>
  <si>
    <t>Pacific/Rarotonga</t>
  </si>
  <si>
    <t>Cook Islands</t>
  </si>
  <si>
    <t>CK</t>
  </si>
  <si>
    <t>CKT</t>
  </si>
  <si>
    <t>-10:00 Cook Islands Time - Avarua</t>
  </si>
  <si>
    <t>Hawaii-Aleutian Time</t>
  </si>
  <si>
    <t>America/Adak</t>
  </si>
  <si>
    <t>NA</t>
  </si>
  <si>
    <t>North America</t>
  </si>
  <si>
    <t>United States</t>
  </si>
  <si>
    <t>US</t>
  </si>
  <si>
    <t>HAST</t>
  </si>
  <si>
    <t>-10:00 Hawaii-Aleutian Time - Adak</t>
  </si>
  <si>
    <t>US/Aleutian</t>
  </si>
  <si>
    <t>America/Atka</t>
  </si>
  <si>
    <t>Pacific/Honolulu</t>
  </si>
  <si>
    <t>-10:00 Hawaii-Aleutian Time - Honolulu, East Honolulu, Pearl City, Makakilo / Kapolei / Honokai Hale</t>
  </si>
  <si>
    <t>US/Hawaii</t>
  </si>
  <si>
    <t>Pacific/Johnston</t>
  </si>
  <si>
    <t>HST</t>
  </si>
  <si>
    <t>Tahiti Time</t>
  </si>
  <si>
    <t>Pacific/Tahiti</t>
  </si>
  <si>
    <t>French Polynesia</t>
  </si>
  <si>
    <t>PF</t>
  </si>
  <si>
    <t>TAHT</t>
  </si>
  <si>
    <t>-10:00 Tahiti Time - Faaa, Papeete, Punaauia</t>
  </si>
  <si>
    <t>Marquesas Time</t>
  </si>
  <si>
    <t>Pacific/Marquesas</t>
  </si>
  <si>
    <t>MART</t>
  </si>
  <si>
    <t>-09:30 Marquesas Time - Marquesas</t>
  </si>
  <si>
    <t>Alaska Time</t>
  </si>
  <si>
    <t>America/Anchorage</t>
  </si>
  <si>
    <t>AKST</t>
  </si>
  <si>
    <t>-09:00 Alaska Time - Anchorage, Juneau, Fairbanks, Eagle River</t>
  </si>
  <si>
    <t>America/Juneau</t>
  </si>
  <si>
    <t>America/Metlakatla</t>
  </si>
  <si>
    <t>America/Nome</t>
  </si>
  <si>
    <t>America/Sitka</t>
  </si>
  <si>
    <t>America/Yakutat</t>
  </si>
  <si>
    <t>US/Alaska</t>
  </si>
  <si>
    <t>Gambier Time</t>
  </si>
  <si>
    <t>Pacific/Gambier</t>
  </si>
  <si>
    <t>GAMT</t>
  </si>
  <si>
    <t>-09:00 Gambier Time - Gambier</t>
  </si>
  <si>
    <t>Pacific Time</t>
  </si>
  <si>
    <t>America/Los_Angeles</t>
  </si>
  <si>
    <t>PST</t>
  </si>
  <si>
    <t>-08:00 Pacific Time - Los Angeles, San Diego, San Jose, San Francisco</t>
  </si>
  <si>
    <t>US/Pacific</t>
  </si>
  <si>
    <t>PST8PDT</t>
  </si>
  <si>
    <t>America/Tijuana</t>
  </si>
  <si>
    <t>Mexico</t>
  </si>
  <si>
    <t>MX</t>
  </si>
  <si>
    <t>-08:00 Pacific Time - Tijuana, Mexicali, Ensenada, Rosarito</t>
  </si>
  <si>
    <t>Mexico/BajaNorte</t>
  </si>
  <si>
    <t>America/Ensenada</t>
  </si>
  <si>
    <t>America/Santa_Isabel</t>
  </si>
  <si>
    <t>America/Vancouver</t>
  </si>
  <si>
    <t>Canada</t>
  </si>
  <si>
    <t>CA</t>
  </si>
  <si>
    <t>-08:00 Pacific Time - Vancouver, Surrey, Okanagan, Victoria</t>
  </si>
  <si>
    <t>Canada/Pacific</t>
  </si>
  <si>
    <t>Pitcairn Time</t>
  </si>
  <si>
    <t>Pacific/Pitcairn</t>
  </si>
  <si>
    <t>Pitcairn</t>
  </si>
  <si>
    <t>PN</t>
  </si>
  <si>
    <t>-08:00 Pitcairn Time - Adamstown</t>
  </si>
  <si>
    <t>Mexican Pacific Time</t>
  </si>
  <si>
    <t>America/Hermosillo</t>
  </si>
  <si>
    <t>GMT-7</t>
  </si>
  <si>
    <t>-07:00 Mexican Pacific Time - Hermosillo, Culiacán, Ciudad Obregón, Mazatlán</t>
  </si>
  <si>
    <t>America/Mazatlan</t>
  </si>
  <si>
    <t>Mexico/BajaSur</t>
  </si>
  <si>
    <t>Mountain Time</t>
  </si>
  <si>
    <t>America/Cambridge_Bay</t>
  </si>
  <si>
    <t>MST</t>
  </si>
  <si>
    <t>-07:00 Mountain Time - Calgary, Edmonton, Red Deer, Sherwood Park</t>
  </si>
  <si>
    <t>America/Edmonton</t>
  </si>
  <si>
    <t>America/Inuvik</t>
  </si>
  <si>
    <t>America/Yellowknife</t>
  </si>
  <si>
    <t>Canada/Mountain</t>
  </si>
  <si>
    <t>America/Ciudad_Juarez</t>
  </si>
  <si>
    <t>-07:00 Mountain Time - Ciudad Juárez</t>
  </si>
  <si>
    <t>America/Boise</t>
  </si>
  <si>
    <t>-07:00 Mountain Time - Denver, El Paso, Albuquerque, Colorado Springs</t>
  </si>
  <si>
    <t>America/Denver</t>
  </si>
  <si>
    <t>MST7MDT</t>
  </si>
  <si>
    <t>Navajo</t>
  </si>
  <si>
    <t>US/Mountain</t>
  </si>
  <si>
    <t>America/Shiprock</t>
  </si>
  <si>
    <t>America/Phoenix</t>
  </si>
  <si>
    <t>-07:00 Mountain Time - Phoenix, Tucson, Mesa, Chandler</t>
  </si>
  <si>
    <t>US/Arizona</t>
  </si>
  <si>
    <t>America/Creston</t>
  </si>
  <si>
    <t>Yukon Time</t>
  </si>
  <si>
    <t>YT</t>
  </si>
  <si>
    <t>-07:00 Yukon Time - Whitehorse, Fort St. John, Creston, Dawson</t>
  </si>
  <si>
    <t>America/Dawson</t>
  </si>
  <si>
    <t>America/Dawson_Creek</t>
  </si>
  <si>
    <t>America/Fort_Nelson</t>
  </si>
  <si>
    <t>America/Whitehorse</t>
  </si>
  <si>
    <t>Canada/Yukon</t>
  </si>
  <si>
    <t>Central Time</t>
  </si>
  <si>
    <t>America/Belize</t>
  </si>
  <si>
    <t>Belize</t>
  </si>
  <si>
    <t>BZ</t>
  </si>
  <si>
    <t>CST</t>
  </si>
  <si>
    <t>-06:00 Central Time - Belize City, San Ignacio, San Pedro, Orange Walk</t>
  </si>
  <si>
    <t>America/Chicago</t>
  </si>
  <si>
    <t>-06:00 Central Time - Chicago, Houston, San Antonio, Dallas</t>
  </si>
  <si>
    <t>America/Indiana/Knox</t>
  </si>
  <si>
    <t>America/Indiana/Tell_City</t>
  </si>
  <si>
    <t>America/Menominee</t>
  </si>
  <si>
    <t>America/North_Dakota/Beulah</t>
  </si>
  <si>
    <t>America/North_Dakota/Center</t>
  </si>
  <si>
    <t>America/North_Dakota/New_Salem</t>
  </si>
  <si>
    <t>CST6CDT</t>
  </si>
  <si>
    <t>US/Central</t>
  </si>
  <si>
    <t>US/Indiana-Starke</t>
  </si>
  <si>
    <t>America/Knox_IN</t>
  </si>
  <si>
    <t>America/Guatemala</t>
  </si>
  <si>
    <t>Guatemala</t>
  </si>
  <si>
    <t>GT</t>
  </si>
  <si>
    <t>-06:00 Central Time - Guatemala City, Villa Nueva, Mixco, Cobán</t>
  </si>
  <si>
    <t>America/Managua</t>
  </si>
  <si>
    <t>Nicaragua</t>
  </si>
  <si>
    <t>NI</t>
  </si>
  <si>
    <t>-06:00 Central Time - Managua, León, Masaya, Chinandega</t>
  </si>
  <si>
    <t>America/Bahia_Banderas</t>
  </si>
  <si>
    <t>-06:00 Central Time - Mexico City, Iztapalapa, León de los Aldama, Puebla</t>
  </si>
  <si>
    <t>America/Chihuahua</t>
  </si>
  <si>
    <t>America/Merida</t>
  </si>
  <si>
    <t>America/Mexico_City</t>
  </si>
  <si>
    <t>America/Monterrey</t>
  </si>
  <si>
    <t>Mexico/General</t>
  </si>
  <si>
    <t>America/Matamoros</t>
  </si>
  <si>
    <t>-06:00 Central Time - Reynosa, Heroica Matamoros, Nuevo Laredo, Piedras Negras</t>
  </si>
  <si>
    <t>America/Ojinaga</t>
  </si>
  <si>
    <t>America/Costa_Rica</t>
  </si>
  <si>
    <t>Costa Rica</t>
  </si>
  <si>
    <t>CR</t>
  </si>
  <si>
    <t>-06:00 Central Time - San José, Limón, San Francisco, Alajuela</t>
  </si>
  <si>
    <t>America/El_Salvador</t>
  </si>
  <si>
    <t>El Salvador</t>
  </si>
  <si>
    <t>SV</t>
  </si>
  <si>
    <t>-06:00 Central Time - San Salvador, Soyapango, San Miguel, Santa Ana</t>
  </si>
  <si>
    <t>America/Regina</t>
  </si>
  <si>
    <t>-06:00 Central Time - Saskatoon, Regina, Prince Albert, Moose Jaw</t>
  </si>
  <si>
    <t>America/Swift_Current</t>
  </si>
  <si>
    <t>Canada/Saskatchewan</t>
  </si>
  <si>
    <t>America/Tegucigalpa</t>
  </si>
  <si>
    <t>Honduras</t>
  </si>
  <si>
    <t>HN</t>
  </si>
  <si>
    <t>-06:00 Central Time - Tegucigalpa, San Pedro Sula, La Ceiba, Choloma</t>
  </si>
  <si>
    <t>America/Rankin_Inlet</t>
  </si>
  <si>
    <t>-06:00 Central Time - Winnipeg, Brandon, Steinbach, Kenora</t>
  </si>
  <si>
    <t>America/Resolute</t>
  </si>
  <si>
    <t>America/Winnipeg</t>
  </si>
  <si>
    <t>Canada/Central</t>
  </si>
  <si>
    <t>America/Rainy_River</t>
  </si>
  <si>
    <t>Easter Island Time</t>
  </si>
  <si>
    <t>Pacific/Easter</t>
  </si>
  <si>
    <t>SA</t>
  </si>
  <si>
    <t>South America</t>
  </si>
  <si>
    <t>Chile</t>
  </si>
  <si>
    <t>CL</t>
  </si>
  <si>
    <t>EAST</t>
  </si>
  <si>
    <t>-06:00 Easter Island Time - Easter</t>
  </si>
  <si>
    <t>Chile/EasterIsland</t>
  </si>
  <si>
    <t>Galapagos Time</t>
  </si>
  <si>
    <t>Pacific/Galapagos</t>
  </si>
  <si>
    <t>Ecuador</t>
  </si>
  <si>
    <t>EC</t>
  </si>
  <si>
    <t>GALT</t>
  </si>
  <si>
    <t>-06:00 Galapagos Time - Galapagos</t>
  </si>
  <si>
    <t>Acre Time</t>
  </si>
  <si>
    <t>America/Eirunepe</t>
  </si>
  <si>
    <t>Brazil</t>
  </si>
  <si>
    <t>BR</t>
  </si>
  <si>
    <t>ACT</t>
  </si>
  <si>
    <t>-05:00 Acre Time - Rio Branco, Cruzeiro do Sul, Senador Guiomard, Sena Madureira</t>
  </si>
  <si>
    <t>America/Rio_Branco</t>
  </si>
  <si>
    <t>Brazil/Acre</t>
  </si>
  <si>
    <t>America/Porto_Acre</t>
  </si>
  <si>
    <t>Colombia Time</t>
  </si>
  <si>
    <t>America/Bogota</t>
  </si>
  <si>
    <t>Colombia</t>
  </si>
  <si>
    <t>CO</t>
  </si>
  <si>
    <t>COT</t>
  </si>
  <si>
    <t>-05:00 Colombia Time - Bogotá, Cali, Medellín, Barranquilla</t>
  </si>
  <si>
    <t>Cuba Time</t>
  </si>
  <si>
    <t>America/Havana</t>
  </si>
  <si>
    <t>Cuba</t>
  </si>
  <si>
    <t>CU</t>
  </si>
  <si>
    <t>-05:00 Cuba Time - Havana, Santiago de Cuba, Camagüey, Holguín</t>
  </si>
  <si>
    <t>Eastern Time</t>
  </si>
  <si>
    <t>America/Atikokan</t>
  </si>
  <si>
    <t>EST</t>
  </si>
  <si>
    <t>-05:00 Eastern Time - Atikokan</t>
  </si>
  <si>
    <t>America/Cancun</t>
  </si>
  <si>
    <t>-05:00 Eastern Time - Cancún, Chetumal, Playa del Carmen, Cozumel</t>
  </si>
  <si>
    <t>America/Grand_Turk</t>
  </si>
  <si>
    <t>Turks and Caicos Islands</t>
  </si>
  <si>
    <t>TC</t>
  </si>
  <si>
    <t>-05:00 Eastern Time - Cockburn Town</t>
  </si>
  <si>
    <t>America/Cayman</t>
  </si>
  <si>
    <t>Cayman Islands</t>
  </si>
  <si>
    <t>KY</t>
  </si>
  <si>
    <t>-05:00 Eastern Time - George Town, West Bay</t>
  </si>
  <si>
    <t>America/Jamaica</t>
  </si>
  <si>
    <t>Jamaica</t>
  </si>
  <si>
    <t>JM</t>
  </si>
  <si>
    <t>-05:00 Eastern Time - Kingston, New Kingston, Spanish Town, Portmore</t>
  </si>
  <si>
    <t>America/Nassau</t>
  </si>
  <si>
    <t>Bahamas</t>
  </si>
  <si>
    <t>BS</t>
  </si>
  <si>
    <t>-05:00 Eastern Time - Nassau, Lucaya, Freeport, Killarney</t>
  </si>
  <si>
    <t>America/Detroit</t>
  </si>
  <si>
    <t>-05:00 Eastern Time - New York City, Brooklyn, Queens, Philadelphia</t>
  </si>
  <si>
    <t>America/Indiana/Indianapolis</t>
  </si>
  <si>
    <t>America/Indiana/Marengo</t>
  </si>
  <si>
    <t>America/Indiana/Petersburg</t>
  </si>
  <si>
    <t>America/Indiana/Vevay</t>
  </si>
  <si>
    <t>America/Indiana/Vincennes</t>
  </si>
  <si>
    <t>America/Indiana/Winamac</t>
  </si>
  <si>
    <t>America/Kentucky/Louisville</t>
  </si>
  <si>
    <t>America/Kentucky/Monticello</t>
  </si>
  <si>
    <t>America/New_York</t>
  </si>
  <si>
    <t>US/Michigan</t>
  </si>
  <si>
    <t>US/East-Indiana</t>
  </si>
  <si>
    <t>America/Indianapolis</t>
  </si>
  <si>
    <t>America/Fort_Wayne</t>
  </si>
  <si>
    <t>America/Louisville</t>
  </si>
  <si>
    <t>EST5EDT</t>
  </si>
  <si>
    <t>US/Eastern</t>
  </si>
  <si>
    <t>America/Panama</t>
  </si>
  <si>
    <t>Panama</t>
  </si>
  <si>
    <t>PA</t>
  </si>
  <si>
    <t>-05:00 Eastern Time - Panamá, San Miguelito, Juan Díaz, David</t>
  </si>
  <si>
    <t>America/Coral_Harbour</t>
  </si>
  <si>
    <t>America/Port-au-Prince</t>
  </si>
  <si>
    <t>Haiti</t>
  </si>
  <si>
    <t>HT</t>
  </si>
  <si>
    <t>-05:00 Eastern Time - Port-au-Prince, Carrefour, Delmas, Port-de-Paix</t>
  </si>
  <si>
    <t>America/Iqaluit</t>
  </si>
  <si>
    <t>-05:00 Eastern Time - Toronto, Montréal, Ottawa, Mississauga</t>
  </si>
  <si>
    <t>America/Toronto</t>
  </si>
  <si>
    <t>America/Pangnirtung</t>
  </si>
  <si>
    <t>Canada/Eastern</t>
  </si>
  <si>
    <t>America/Montreal</t>
  </si>
  <si>
    <t>America/Nipigon</t>
  </si>
  <si>
    <t>America/Thunder_Bay</t>
  </si>
  <si>
    <t>Ecuador Time</t>
  </si>
  <si>
    <t>America/Guayaquil</t>
  </si>
  <si>
    <t>ECT</t>
  </si>
  <si>
    <t>-05:00 Ecuador Time - Quito, Guayaquil, Cuenca, Santo Domingo de los Colorados</t>
  </si>
  <si>
    <t>Peru Time</t>
  </si>
  <si>
    <t>America/Lima</t>
  </si>
  <si>
    <t>Peru</t>
  </si>
  <si>
    <t>PE</t>
  </si>
  <si>
    <t>PET</t>
  </si>
  <si>
    <t>-05:00 Peru Time - Lima, Callao, Arequipa, Trujillo</t>
  </si>
  <si>
    <t>Amazon Time</t>
  </si>
  <si>
    <t>America/Boa_Vista</t>
  </si>
  <si>
    <t>AMT</t>
  </si>
  <si>
    <t>-04:00 Amazon Time - Manaus, Campo Grande, Cuiabá, Porto Velho</t>
  </si>
  <si>
    <t>America/Campo_Grande</t>
  </si>
  <si>
    <t>America/Cuiaba</t>
  </si>
  <si>
    <t>America/Manaus</t>
  </si>
  <si>
    <t>America/Porto_Velho</t>
  </si>
  <si>
    <t>Brazil/West</t>
  </si>
  <si>
    <t>Atlantic Time</t>
  </si>
  <si>
    <t>America/St_Kitts</t>
  </si>
  <si>
    <t>Saint Kitts and Nevis</t>
  </si>
  <si>
    <t>KN</t>
  </si>
  <si>
    <t>AST</t>
  </si>
  <si>
    <t>-04:00 Atlantic Time - Basseterre</t>
  </si>
  <si>
    <t>America/Blanc-Sablon</t>
  </si>
  <si>
    <t>-04:00 Atlantic Time - Blanc-Sablon</t>
  </si>
  <si>
    <t>America/Montserrat</t>
  </si>
  <si>
    <t>Montserrat</t>
  </si>
  <si>
    <t>MS</t>
  </si>
  <si>
    <t>-04:00 Atlantic Time - Brades, Plymouth</t>
  </si>
  <si>
    <t>America/Barbados</t>
  </si>
  <si>
    <t>Barbados</t>
  </si>
  <si>
    <t>BB</t>
  </si>
  <si>
    <t>-04:00 Atlantic Time - Bridgetown</t>
  </si>
  <si>
    <t>America/Port_of_Spain</t>
  </si>
  <si>
    <t>Trinidad and Tobago</t>
  </si>
  <si>
    <t>TT</t>
  </si>
  <si>
    <t>-04:00 Atlantic Time - Chaguanas, Mon Repos, San Fernando, Port of Spain</t>
  </si>
  <si>
    <t>America/Martinique</t>
  </si>
  <si>
    <t>Martinique</t>
  </si>
  <si>
    <t>MQ</t>
  </si>
  <si>
    <t>-04:00 Atlantic Time - Fort-de-France, Le Lamentin, Le Robert, Sainte-Marie</t>
  </si>
  <si>
    <t>America/St_Lucia</t>
  </si>
  <si>
    <t>Saint Lucia</t>
  </si>
  <si>
    <t>LC</t>
  </si>
  <si>
    <t>-04:00 Atlantic Time - Gros Islet, Castries</t>
  </si>
  <si>
    <t>America/St_Barthelemy</t>
  </si>
  <si>
    <t>Saint Barthelemy</t>
  </si>
  <si>
    <t>BL</t>
  </si>
  <si>
    <t>-04:00 Atlantic Time - Gustavia</t>
  </si>
  <si>
    <t>America/Glace_Bay</t>
  </si>
  <si>
    <t>-04:00 Atlantic Time - Halifax, Moncton, Sydney, Dartmouth</t>
  </si>
  <si>
    <t>America/Goose_Bay</t>
  </si>
  <si>
    <t>America/Halifax</t>
  </si>
  <si>
    <t>America/Moncton</t>
  </si>
  <si>
    <t>Canada/Atlantic</t>
  </si>
  <si>
    <t>Atlantic/Bermuda</t>
  </si>
  <si>
    <t>Bermuda</t>
  </si>
  <si>
    <t>BM</t>
  </si>
  <si>
    <t>-04:00 Atlantic Time - Hamilton</t>
  </si>
  <si>
    <t>America/St_Vincent</t>
  </si>
  <si>
    <t>Saint Vincent and the Grenadines</t>
  </si>
  <si>
    <t>VC</t>
  </si>
  <si>
    <t>-04:00 Atlantic Time - Kingstown, Calliaqua</t>
  </si>
  <si>
    <t>America/Kralendijk</t>
  </si>
  <si>
    <t xml:space="preserve">Bonaire, Saint Eustatius and Saba </t>
  </si>
  <si>
    <t>BQ</t>
  </si>
  <si>
    <t>-04:00 Atlantic Time - Kralendijk</t>
  </si>
  <si>
    <t>America/Guadeloupe</t>
  </si>
  <si>
    <t>Guadeloupe</t>
  </si>
  <si>
    <t>GP</t>
  </si>
  <si>
    <t>-04:00 Atlantic Time - Les Abymes, Baie-Mahault, Le Gosier, Petit-Bourg</t>
  </si>
  <si>
    <t>America/Marigot</t>
  </si>
  <si>
    <t>Saint Martin</t>
  </si>
  <si>
    <t>MF</t>
  </si>
  <si>
    <t>-04:00 Atlantic Time - Marigot</t>
  </si>
  <si>
    <t>America/Aruba</t>
  </si>
  <si>
    <t>Aruba</t>
  </si>
  <si>
    <t>AW</t>
  </si>
  <si>
    <t>-04:00 Atlantic Time - Oranjestad, Noord, Tanki Leendert, San Nicolas</t>
  </si>
  <si>
    <t>America/Lower_Princes</t>
  </si>
  <si>
    <t>Sint Maarten</t>
  </si>
  <si>
    <t>SX</t>
  </si>
  <si>
    <t>-04:00 Atlantic Time - Philipsburg</t>
  </si>
  <si>
    <t>America/Tortola</t>
  </si>
  <si>
    <t>British Virgin Islands</t>
  </si>
  <si>
    <t>VG</t>
  </si>
  <si>
    <t>-04:00 Atlantic Time - Road Town</t>
  </si>
  <si>
    <t>America/Dominica</t>
  </si>
  <si>
    <t>Dominica</t>
  </si>
  <si>
    <t>DM</t>
  </si>
  <si>
    <t>-04:00 Atlantic Time - Roseau</t>
  </si>
  <si>
    <t>America/St_Thomas</t>
  </si>
  <si>
    <t>U.S. Virgin Islands</t>
  </si>
  <si>
    <t>VI</t>
  </si>
  <si>
    <t>-04:00 Atlantic Time - Saint Croix, Charlotte Amalie</t>
  </si>
  <si>
    <t>America/Grenada</t>
  </si>
  <si>
    <t>Grenada</t>
  </si>
  <si>
    <t>GD</t>
  </si>
  <si>
    <t>-04:00 Atlantic Time - Saint George's</t>
  </si>
  <si>
    <t>America/Antigua</t>
  </si>
  <si>
    <t>Antigua and Barbuda</t>
  </si>
  <si>
    <t>AG</t>
  </si>
  <si>
    <t>-04:00 Atlantic Time - Saint John’s</t>
  </si>
  <si>
    <t>America/Puerto_Rico</t>
  </si>
  <si>
    <t>Puerto Rico</t>
  </si>
  <si>
    <t>PR</t>
  </si>
  <si>
    <t>-04:00 Atlantic Time - San Juan, Bayamón, Carolina, Ponce</t>
  </si>
  <si>
    <t>America/Virgin</t>
  </si>
  <si>
    <t>America/Anguilla</t>
  </si>
  <si>
    <t>America/Curacao</t>
  </si>
  <si>
    <t>America/Santo_Domingo</t>
  </si>
  <si>
    <t>Dominican Republic</t>
  </si>
  <si>
    <t>DO</t>
  </si>
  <si>
    <t>-04:00 Atlantic Time - Santo Domingo, Santiago de los Caballeros, Santo Domingo Oeste, Santo Domingo Este</t>
  </si>
  <si>
    <t>Anguilla</t>
  </si>
  <si>
    <t>AI</t>
  </si>
  <si>
    <t>-04:00 Atlantic Time - The Valley</t>
  </si>
  <si>
    <t>America/Thule</t>
  </si>
  <si>
    <t>Greenland</t>
  </si>
  <si>
    <t>GL</t>
  </si>
  <si>
    <t>-04:00 Atlantic Time - Thule</t>
  </si>
  <si>
    <t>Curacao</t>
  </si>
  <si>
    <t>CW</t>
  </si>
  <si>
    <t>-04:00 Atlantic Time - Willemstad</t>
  </si>
  <si>
    <t>Bolivia Time</t>
  </si>
  <si>
    <t>America/La_Paz</t>
  </si>
  <si>
    <t>Bolivia</t>
  </si>
  <si>
    <t>BO</t>
  </si>
  <si>
    <t>BOT</t>
  </si>
  <si>
    <t>-04:00 Bolivia Time - La Paz, Santa Cruz de la Sierra, Cochabamba, Sucre</t>
  </si>
  <si>
    <t>Chile Time</t>
  </si>
  <si>
    <t>America/Santiago</t>
  </si>
  <si>
    <t>CLT</t>
  </si>
  <si>
    <t>-04:00 Chile Time - Santiago, Puente Alto, Antofagasta, Viña del Mar</t>
  </si>
  <si>
    <t>Chile/Continental</t>
  </si>
  <si>
    <t>Guyana Time</t>
  </si>
  <si>
    <t>America/Guyana</t>
  </si>
  <si>
    <t>Guyana</t>
  </si>
  <si>
    <t>GY</t>
  </si>
  <si>
    <t>GYT</t>
  </si>
  <si>
    <t>-04:00 Guyana Time - Georgetown, Linden, New Amsterdam</t>
  </si>
  <si>
    <t>Venezuela Time</t>
  </si>
  <si>
    <t>America/Caracas</t>
  </si>
  <si>
    <t>Venezuela</t>
  </si>
  <si>
    <t>VE</t>
  </si>
  <si>
    <t>VET</t>
  </si>
  <si>
    <t>-04:00 Venezuela Time - Caracas, Maracaibo, Maracay, Valencia</t>
  </si>
  <si>
    <t>Newfoundland Time</t>
  </si>
  <si>
    <t>America/St_Johns</t>
  </si>
  <si>
    <t>NST</t>
  </si>
  <si>
    <t>-03:30 Newfoundland Time - St. John's, Mount Pearl, Corner Brook, Conception Bay South</t>
  </si>
  <si>
    <t>Canada/Newfoundland</t>
  </si>
  <si>
    <t>Argentina Time</t>
  </si>
  <si>
    <t>America/Argentina/Buenos_Aires</t>
  </si>
  <si>
    <t>Argentina</t>
  </si>
  <si>
    <t>AR</t>
  </si>
  <si>
    <t>ART</t>
  </si>
  <si>
    <t>-03:00 Argentina Time - Buenos Aires, Córdoba, Rosario, Mar del Plata</t>
  </si>
  <si>
    <t>America/Argentina/Catamarca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</si>
  <si>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</si>
  <si>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</si>
  <si>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</si>
  <si>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</si>
  <si>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</si>
  <si>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</si>
  <si>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</si>
  <si>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</si>
  <si>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</si>
  <si>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</si>
  <si>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America/Buenos_Aires</t>
  </si>
  <si>
    <t>America/Catamarca</t>
  </si>
  <si>
    <t>America/Argentina/ComodRivadavia</t>
  </si>
  <si>
    <t>America/Cordoba</t>
  </si>
  <si>
    <t>America/Rosario</t>
  </si>
  <si>
    <t>America/Jujuy</t>
  </si>
  <si>
    <t>America/Mendoza</t>
  </si>
  <si>
    <t>Brasilia Time</t>
  </si>
  <si>
    <t>America/Araguaina</t>
  </si>
  <si>
    <t>BRT</t>
  </si>
  <si>
    <t>-03:00 Brasilia Time - São Paulo, Rio de Janeiro, Belo Horizonte, Salvador</t>
  </si>
  <si>
    <t>America/Bahia</t>
  </si>
  <si>
    <t>America/Belem</t>
  </si>
  <si>
    <t>America/Fortaleza</t>
  </si>
  <si>
    <t>America/Maceio</t>
  </si>
  <si>
    <t>America/Recife</t>
  </si>
  <si>
    <t>America/Santarem</t>
  </si>
  <si>
    <t>America/Sao_Paulo</t>
  </si>
  <si>
    <t>Brazil/East</t>
  </si>
  <si>
    <t>Antarctica/Palmer</t>
  </si>
  <si>
    <t>AN</t>
  </si>
  <si>
    <t>Antarctica</t>
  </si>
  <si>
    <t>AQ</t>
  </si>
  <si>
    <t>-03:00 Chile Time - Palmer, Rothera</t>
  </si>
  <si>
    <t>Antarctica/Rothera</t>
  </si>
  <si>
    <t>America/Punta_Arenas</t>
  </si>
  <si>
    <t>-03:00 Chile Time - Punta Arenas, Puerto Natales</t>
  </si>
  <si>
    <t>Falkland Islands Time</t>
  </si>
  <si>
    <t>Atlantic/Stanley</t>
  </si>
  <si>
    <t>Falkland Islands</t>
  </si>
  <si>
    <t>FK</t>
  </si>
  <si>
    <t>FKST</t>
  </si>
  <si>
    <t>-03:00 Falkland Islands Time - Stanley</t>
  </si>
  <si>
    <t>French Guiana Time</t>
  </si>
  <si>
    <t>America/Cayenne</t>
  </si>
  <si>
    <t>French Guiana</t>
  </si>
  <si>
    <t>GF</t>
  </si>
  <si>
    <t>GFT</t>
  </si>
  <si>
    <t>-03:00 French Guiana Time - Cayenne, Matoury, Saint-Laurent-du-Maroni, Kourou</t>
  </si>
  <si>
    <t>Paraguay Time</t>
  </si>
  <si>
    <t>America/Asuncion</t>
  </si>
  <si>
    <t>Paraguay</t>
  </si>
  <si>
    <t>PY</t>
  </si>
  <si>
    <t>PYT</t>
  </si>
  <si>
    <t>-03:00 Paraguay Time - Asunción, Ciudad del Este, San Lorenzo, Capiatá</t>
  </si>
  <si>
    <t>St. Pierre &amp; Miquelon Time</t>
  </si>
  <si>
    <t>America/Miquelon</t>
  </si>
  <si>
    <t>Saint Pierre and Miquelon</t>
  </si>
  <si>
    <t>PM</t>
  </si>
  <si>
    <t>-03:00 St. Pierre &amp; Miquelon Time - Saint-Pierre</t>
  </si>
  <si>
    <t>Suriname Time</t>
  </si>
  <si>
    <t>America/Paramaribo</t>
  </si>
  <si>
    <t>Suriname</t>
  </si>
  <si>
    <t>SR</t>
  </si>
  <si>
    <t>SRT</t>
  </si>
  <si>
    <t>-03:00 Suriname Time - Paramaribo, Lelydorp</t>
  </si>
  <si>
    <t>Uruguay Time</t>
  </si>
  <si>
    <t>America/Montevideo</t>
  </si>
  <si>
    <t>Uruguay</t>
  </si>
  <si>
    <t>UY</t>
  </si>
  <si>
    <t>UYT</t>
  </si>
  <si>
    <t>-03:00 Uruguay Time - Montevideo, Salto, Paysandú, Las Piedras</t>
  </si>
  <si>
    <t>America/Nuuk</t>
  </si>
  <si>
    <t>GMT-2</t>
  </si>
  <si>
    <t>-02:00 America/Nuuk - Nuuk, Scoresbysund</t>
  </si>
  <si>
    <t>America/Scoresbysund</t>
  </si>
  <si>
    <t>America/Godthab</t>
  </si>
  <si>
    <t>Fernando de Noronha Time</t>
  </si>
  <si>
    <t>America/Noronha</t>
  </si>
  <si>
    <t>FNT</t>
  </si>
  <si>
    <t>-02:00 Fernando de Noronha Time - Noronha</t>
  </si>
  <si>
    <t>Brazil/DeNoronha</t>
  </si>
  <si>
    <t>South Georgia Time</t>
  </si>
  <si>
    <t>Atlantic/South_Georgia</t>
  </si>
  <si>
    <t>South Georgia and the South Sandwich Islands</t>
  </si>
  <si>
    <t>GS</t>
  </si>
  <si>
    <t>GST</t>
  </si>
  <si>
    <t>-02:00 South Georgia Time - Grytviken</t>
  </si>
  <si>
    <t>Azores Time</t>
  </si>
  <si>
    <t>Atlantic/Azores</t>
  </si>
  <si>
    <t>EU</t>
  </si>
  <si>
    <t>Europe</t>
  </si>
  <si>
    <t>Portugal</t>
  </si>
  <si>
    <t>PT</t>
  </si>
  <si>
    <t>AZOT</t>
  </si>
  <si>
    <t>-01:00 Azores Time - Ponta Delgada</t>
  </si>
  <si>
    <t>Cape Verde Time</t>
  </si>
  <si>
    <t>Atlantic/Cape_Verde</t>
  </si>
  <si>
    <t>AF</t>
  </si>
  <si>
    <t>Africa</t>
  </si>
  <si>
    <t>Cabo Verde</t>
  </si>
  <si>
    <t>CV</t>
  </si>
  <si>
    <t>CVT</t>
  </si>
  <si>
    <t>-01:00 Cape Verde Time - Praia, Mindelo, Espargos, Assomada</t>
  </si>
  <si>
    <t>Greenwich Mean Time</t>
  </si>
  <si>
    <t>Africa/Abidjan</t>
  </si>
  <si>
    <t>Ivory Coast</t>
  </si>
  <si>
    <t>CI</t>
  </si>
  <si>
    <t>GMT</t>
  </si>
  <si>
    <t>+00:00 Greenwich Mean Time - Abidjan, Abobo, Bouaké, Korhogo</t>
  </si>
  <si>
    <t>Iceland</t>
  </si>
  <si>
    <t>Africa/Accra</t>
  </si>
  <si>
    <t>Africa/Bamako</t>
  </si>
  <si>
    <t>Africa/Banjul</t>
  </si>
  <si>
    <t>Africa/Conakry</t>
  </si>
  <si>
    <t>Africa/Dakar</t>
  </si>
  <si>
    <t>Africa/Freetown</t>
  </si>
  <si>
    <t>Africa/Lome</t>
  </si>
  <si>
    <t>Africa/Nouakchott</t>
  </si>
  <si>
    <t>Africa/Ouagadougou</t>
  </si>
  <si>
    <t>Atlantic/Reykjavik</t>
  </si>
  <si>
    <t>Atlantic/St_Helena</t>
  </si>
  <si>
    <t>Africa/Timbuktu</t>
  </si>
  <si>
    <t>Mali</t>
  </si>
  <si>
    <t>ML</t>
  </si>
  <si>
    <t>+00:00 Greenwich Mean Time - Bamako, Sikasso, Koutiala, Ségou</t>
  </si>
  <si>
    <t>Africa/Bissau</t>
  </si>
  <si>
    <t>Guinea-Bissau</t>
  </si>
  <si>
    <t>GW</t>
  </si>
  <si>
    <t>+00:00 Greenwich Mean Time - Bissau, Gabú, Bafatá</t>
  </si>
  <si>
    <t>Guinea</t>
  </si>
  <si>
    <t>GN</t>
  </si>
  <si>
    <t>+00:00 Greenwich Mean Time - Conakry, Camayenne, Nzérékoré, Kankan</t>
  </si>
  <si>
    <t>Senegal</t>
  </si>
  <si>
    <t>SN</t>
  </si>
  <si>
    <t>+00:00 Greenwich Mean Time - Dakar, Pikine, Touba, Guédiawaye</t>
  </si>
  <si>
    <t>America/Danmarkshavn</t>
  </si>
  <si>
    <t>+00:00 Greenwich Mean Time - Danmarkshavn</t>
  </si>
  <si>
    <t>Europe/Isle_of_Man</t>
  </si>
  <si>
    <t>Isle of Man</t>
  </si>
  <si>
    <t>IM</t>
  </si>
  <si>
    <t>+00:00 Greenwich Mean Time - Douglas</t>
  </si>
  <si>
    <t>Europe/Dublin</t>
  </si>
  <si>
    <t>Ireland</t>
  </si>
  <si>
    <t>IE</t>
  </si>
  <si>
    <t>+00:00 Greenwich Mean Time - Dublin, South Dublin, Cork, Limerick</t>
  </si>
  <si>
    <t>Eire</t>
  </si>
  <si>
    <t>Sierra Leone</t>
  </si>
  <si>
    <t>SL</t>
  </si>
  <si>
    <t>+00:00 Greenwich Mean Time - Freetown, Bo, Kenema, Koidu</t>
  </si>
  <si>
    <t>Saint Helena</t>
  </si>
  <si>
    <t>SH</t>
  </si>
  <si>
    <t>+00:00 Greenwich Mean Time - Jamestown</t>
  </si>
  <si>
    <t>Ghana</t>
  </si>
  <si>
    <t>GH</t>
  </si>
  <si>
    <t>+00:00 Greenwich Mean Time - Kumasi, Accra, Tamale, Takoradi</t>
  </si>
  <si>
    <t>Togo</t>
  </si>
  <si>
    <t>TG</t>
  </si>
  <si>
    <t>+00:00 Greenwich Mean Time - Lomé, Sokodé, Kara, Atakpamé</t>
  </si>
  <si>
    <t>Europe/London</t>
  </si>
  <si>
    <t>United Kingdom</t>
  </si>
  <si>
    <t>GB</t>
  </si>
  <si>
    <t>+00:00 Greenwich Mean Time - London, Birmingham, Liverpool, Glasgow</t>
  </si>
  <si>
    <t>GB-Eire</t>
  </si>
  <si>
    <t>Europe/Guernsey</t>
  </si>
  <si>
    <t>Europe/Jersey</t>
  </si>
  <si>
    <t>Europe/Belfast</t>
  </si>
  <si>
    <t>Africa/Monrovia</t>
  </si>
  <si>
    <t>Liberia</t>
  </si>
  <si>
    <t>LR</t>
  </si>
  <si>
    <t>+00:00 Greenwich Mean Time - Monrovia, Gbarnga, Buchanan, Ganta</t>
  </si>
  <si>
    <t>Mauritania</t>
  </si>
  <si>
    <t>MR</t>
  </si>
  <si>
    <t>+00:00 Greenwich Mean Time - Nouakchott, Nouadhibou, Kiffa, Dar Naim</t>
  </si>
  <si>
    <t>Burkina Faso</t>
  </si>
  <si>
    <t>BF</t>
  </si>
  <si>
    <t>+00:00 Greenwich Mean Time - Ouagadougou, Bobo-Dioulasso, Koudougou, Saaba</t>
  </si>
  <si>
    <t>IS</t>
  </si>
  <si>
    <t>+00:00 Greenwich Mean Time - Reykjavík, Kópavogur, Hafnarfjörður, Reykjanesbær</t>
  </si>
  <si>
    <t>Jersey</t>
  </si>
  <si>
    <t>JE</t>
  </si>
  <si>
    <t>+00:00 Greenwich Mean Time - Saint Helier</t>
  </si>
  <si>
    <t>Guernsey</t>
  </si>
  <si>
    <t>GG</t>
  </si>
  <si>
    <t>+00:00 Greenwich Mean Time - Saint Peter Port</t>
  </si>
  <si>
    <t>Gambia</t>
  </si>
  <si>
    <t>GM</t>
  </si>
  <si>
    <t>+00:00 Greenwich Mean Time - Serekunda, Brikama, Bununka Kunda, Sukuta</t>
  </si>
  <si>
    <t>Africa/Sao_Tome</t>
  </si>
  <si>
    <t>Sao Tome and Principe</t>
  </si>
  <si>
    <t>ST</t>
  </si>
  <si>
    <t>+00:00 Greenwich Mean Time - São Tomé</t>
  </si>
  <si>
    <t>Antarctica/Troll</t>
  </si>
  <si>
    <t>+00:00 Greenwich Mean Time - Troll</t>
  </si>
  <si>
    <t>Western European Time</t>
  </si>
  <si>
    <t>Africa/Casablanca</t>
  </si>
  <si>
    <t>Morocco</t>
  </si>
  <si>
    <t>MA</t>
  </si>
  <si>
    <t>WET</t>
  </si>
  <si>
    <t>+00:00 Western European Time - Casablanca, Rabat, Fes, Tangier</t>
  </si>
  <si>
    <t>Africa/El_Aaiun</t>
  </si>
  <si>
    <t>Western Sahara</t>
  </si>
  <si>
    <t>EH</t>
  </si>
  <si>
    <t>+00:00 Western European Time - Laayoune, Dakhla, Boujdour</t>
  </si>
  <si>
    <t>Atlantic/Canary</t>
  </si>
  <si>
    <t>Spain</t>
  </si>
  <si>
    <t>ES</t>
  </si>
  <si>
    <t>+00:00 Western European Time - Las Palmas de Gran Canaria, Santa Cruz de Tenerife, La Laguna, Telde</t>
  </si>
  <si>
    <t>Atlantic/Madeira</t>
  </si>
  <si>
    <t>+00:00 Western European Time - Lisbon, Porto, Amadora, Braga</t>
  </si>
  <si>
    <t>Europe/Lisbon</t>
  </si>
  <si>
    <t>Atlantic/Faroe</t>
  </si>
  <si>
    <t>Faroe Islands</t>
  </si>
  <si>
    <t>FO</t>
  </si>
  <si>
    <t>+00:00 Western European Time - Tórshavn</t>
  </si>
  <si>
    <t>Atlantic/Faeroe</t>
  </si>
  <si>
    <t>Central Africa Time</t>
  </si>
  <si>
    <t>Africa/Windhoek</t>
  </si>
  <si>
    <t>Namibia</t>
  </si>
  <si>
    <t>CAT</t>
  </si>
  <si>
    <t>+01:00 Central Africa Time - Windhoek, Rundu, Walvis Bay, Swakopmund</t>
  </si>
  <si>
    <t>Central European Time</t>
  </si>
  <si>
    <t>Africa/Algiers</t>
  </si>
  <si>
    <t>Algeria</t>
  </si>
  <si>
    <t>DZ</t>
  </si>
  <si>
    <t>CET</t>
  </si>
  <si>
    <t>+01:00 Central European Time - Algiers, Oran, Constantine, Annaba</t>
  </si>
  <si>
    <t>Europe/Amsterdam</t>
  </si>
  <si>
    <t>The Netherlands</t>
  </si>
  <si>
    <t>NL</t>
  </si>
  <si>
    <t>+01:00 Central European Time - Amsterdam, Rotterdam, The Hague, Utrecht</t>
  </si>
  <si>
    <t>Europe/Andorra</t>
  </si>
  <si>
    <t>Andorra</t>
  </si>
  <si>
    <t>AD</t>
  </si>
  <si>
    <t>+01:00 Central European Time - Andorra la Vella, les Escaldes</t>
  </si>
  <si>
    <t>Europe/Belgrade</t>
  </si>
  <si>
    <t>Serbia</t>
  </si>
  <si>
    <t>RS</t>
  </si>
  <si>
    <t>+01:00 Central European Time - Belgrade, Niš, Novi Sad, Zemun</t>
  </si>
  <si>
    <t>Europe/Ljubljana</t>
  </si>
  <si>
    <t>Europe/Podgorica</t>
  </si>
  <si>
    <t>Europe/Sarajevo</t>
  </si>
  <si>
    <t>Europe/Skopje</t>
  </si>
  <si>
    <t>Europe/Zagreb</t>
  </si>
  <si>
    <t>Europe/Berlin</t>
  </si>
  <si>
    <t>Germany</t>
  </si>
  <si>
    <t>DE</t>
  </si>
  <si>
    <t>+01:00 Central European Time - Berlin, Hamburg, Munich, Köln</t>
  </si>
  <si>
    <t>Europe/Busingen</t>
  </si>
  <si>
    <t>Arctic/Longyearbyen</t>
  </si>
  <si>
    <t>Europe/Copenhagen</t>
  </si>
  <si>
    <t>Europe/Oslo</t>
  </si>
  <si>
    <t>Europe/Stockholm</t>
  </si>
  <si>
    <t>Atlantic/Jan_Mayen</t>
  </si>
  <si>
    <t>Europe/Bratislava</t>
  </si>
  <si>
    <t>Slovakia</t>
  </si>
  <si>
    <t>SK</t>
  </si>
  <si>
    <t>+01:00 Central European Time - Bratislava, Košice, Nitra, Prešov</t>
  </si>
  <si>
    <t>Europe/Brussels</t>
  </si>
  <si>
    <t>Belgium</t>
  </si>
  <si>
    <t>BE</t>
  </si>
  <si>
    <t>+01:00 Central European Time - Brussels, Antwerpen, Gent, Charleroi</t>
  </si>
  <si>
    <t>MET</t>
  </si>
  <si>
    <t>Europe/Luxembourg</t>
  </si>
  <si>
    <t>Europe/Budapest</t>
  </si>
  <si>
    <t>Hungary</t>
  </si>
  <si>
    <t>HU</t>
  </si>
  <si>
    <t>+01:00 Central European Time - Budapest, Debrecen, Szeged, Miskolc</t>
  </si>
  <si>
    <t>Denmark</t>
  </si>
  <si>
    <t>DK</t>
  </si>
  <si>
    <t>+01:00 Central European Time - Copenhagen, Århus, Odense, Aalborg</t>
  </si>
  <si>
    <t>Europe/Gibraltar</t>
  </si>
  <si>
    <t>Gibraltar</t>
  </si>
  <si>
    <t>GI</t>
  </si>
  <si>
    <t>+01:00 Central European Time - Gibraltar</t>
  </si>
  <si>
    <t>Slovenia</t>
  </si>
  <si>
    <t>SI</t>
  </si>
  <si>
    <t>+01:00 Central European Time - Ljubljana, Maribor, Kranj, Celje</t>
  </si>
  <si>
    <t>Svalbard and Jan Mayen</t>
  </si>
  <si>
    <t>SJ</t>
  </si>
  <si>
    <t>+01:00 Central European Time - Longyearbyen</t>
  </si>
  <si>
    <t>Luxembourg</t>
  </si>
  <si>
    <t>LU</t>
  </si>
  <si>
    <t>+01:00 Central European Time - Luxembourg, Esch-sur-Alzette, Dudelange</t>
  </si>
  <si>
    <t>Africa/Ceuta</t>
  </si>
  <si>
    <t>+01:00 Central European Time - Madrid, Barcelona, Valencia, Sevilla</t>
  </si>
  <si>
    <t>Europe/Madrid</t>
  </si>
  <si>
    <t>Europe/Monaco</t>
  </si>
  <si>
    <t>Monaco</t>
  </si>
  <si>
    <t>MC</t>
  </si>
  <si>
    <t>+01:00 Central European Time - Monaco, Monte-Carlo</t>
  </si>
  <si>
    <t>Norway</t>
  </si>
  <si>
    <t>NO</t>
  </si>
  <si>
    <t>+01:00 Central European Time - Oslo, Bergen, Trondheim, Stavanger</t>
  </si>
  <si>
    <t>Europe/Paris</t>
  </si>
  <si>
    <t>France</t>
  </si>
  <si>
    <t>FR</t>
  </si>
  <si>
    <t>+01:00 Central European Time - Paris, Marseille, Lyon, Toulouse</t>
  </si>
  <si>
    <t>Montenegro</t>
  </si>
  <si>
    <t>ME</t>
  </si>
  <si>
    <t>+01:00 Central European Time - Podgorica, Nikšić, Herceg Novi, Pljevlja</t>
  </si>
  <si>
    <t>Europe/Prague</t>
  </si>
  <si>
    <t>Czechia</t>
  </si>
  <si>
    <t>CZ</t>
  </si>
  <si>
    <t>+01:00 Central European Time - Prague, Brno, Ostrava, Pilsen</t>
  </si>
  <si>
    <t>Europe/Rome</t>
  </si>
  <si>
    <t>Italy</t>
  </si>
  <si>
    <t>IT</t>
  </si>
  <si>
    <t>+01:00 Central European Time - Rome, Milan, Naples, Turin</t>
  </si>
  <si>
    <t>Europe/San_Marino</t>
  </si>
  <si>
    <t>Europe/Vatican</t>
  </si>
  <si>
    <t>San Marino</t>
  </si>
  <si>
    <t>SM</t>
  </si>
  <si>
    <t>+01:00 Central European Time - San Marino</t>
  </si>
  <si>
    <t>Europe/Malta</t>
  </si>
  <si>
    <t>Malta</t>
  </si>
  <si>
    <t>MT</t>
  </si>
  <si>
    <t>+01:00 Central European Time - San Pawl il-Baħar, Birkirkara, Mosta, Sliema</t>
  </si>
  <si>
    <t>Bosnia and Herzegovina</t>
  </si>
  <si>
    <t>BA</t>
  </si>
  <si>
    <t>+01:00 Central European Time - Sarajevo, Banja Luka, Zenica, Tuzla</t>
  </si>
  <si>
    <t>North Macedonia</t>
  </si>
  <si>
    <t>MK</t>
  </si>
  <si>
    <t>+01:00 Central European Time - Skopje, Kumanovo, Prilep, Bitola</t>
  </si>
  <si>
    <t>Sweden</t>
  </si>
  <si>
    <t>SE</t>
  </si>
  <si>
    <t>+01:00 Central European Time - Stockholm, Göteborg, Malmö, Uppsala</t>
  </si>
  <si>
    <t>Europe/Tirane</t>
  </si>
  <si>
    <t>Albania</t>
  </si>
  <si>
    <t>AL</t>
  </si>
  <si>
    <t>+01:00 Central European Time - Tirana, Durrës, Elbasan, Vlorë</t>
  </si>
  <si>
    <t>Africa/Tunis</t>
  </si>
  <si>
    <t>Tunisia</t>
  </si>
  <si>
    <t>TN</t>
  </si>
  <si>
    <t>+01:00 Central European Time - Tunis, Sfax, Sousse, Kairouan</t>
  </si>
  <si>
    <t>Europe/Vaduz</t>
  </si>
  <si>
    <t>Liechtenstein</t>
  </si>
  <si>
    <t>LI</t>
  </si>
  <si>
    <t>+01:00 Central European Time - Vaduz</t>
  </si>
  <si>
    <t>Vatican</t>
  </si>
  <si>
    <t>VA</t>
  </si>
  <si>
    <t>+01:00 Central European Time - Vatican City</t>
  </si>
  <si>
    <t>Europe/Vienna</t>
  </si>
  <si>
    <t>Austria</t>
  </si>
  <si>
    <t>AT</t>
  </si>
  <si>
    <t>+01:00 Central European Time - Vienna, Graz, Linz, Favoriten</t>
  </si>
  <si>
    <t>Europe/Warsaw</t>
  </si>
  <si>
    <t>Poland</t>
  </si>
  <si>
    <t>PL</t>
  </si>
  <si>
    <t>+01:00 Central European Time - Warsaw, Łódź, Kraków, Wrocław</t>
  </si>
  <si>
    <t>Croatia</t>
  </si>
  <si>
    <t>HR</t>
  </si>
  <si>
    <t>+01:00 Central European Time - Zagreb, Split, Rijeka, Osijek</t>
  </si>
  <si>
    <t>Europe/Zurich</t>
  </si>
  <si>
    <t>Switzerland</t>
  </si>
  <si>
    <t>CH</t>
  </si>
  <si>
    <t>+01:00 Central European Time - Zürich, Genève, Basel, Lausanne</t>
  </si>
  <si>
    <t>West Africa Time</t>
  </si>
  <si>
    <t>Africa/Bangui</t>
  </si>
  <si>
    <t>Central African Republic</t>
  </si>
  <si>
    <t>CF</t>
  </si>
  <si>
    <t>WAT</t>
  </si>
  <si>
    <t>+01:00 West Africa Time - Bangui, Bimbo, Bégoua, Carnot</t>
  </si>
  <si>
    <t>Africa/Malabo</t>
  </si>
  <si>
    <t>Equatorial Guinea</t>
  </si>
  <si>
    <t>GQ</t>
  </si>
  <si>
    <t>+01:00 West Africa Time - Bata, Malabo, Ebebiyin</t>
  </si>
  <si>
    <t>Africa/Brazzaville</t>
  </si>
  <si>
    <t>Republic of the Congo</t>
  </si>
  <si>
    <t>CG</t>
  </si>
  <si>
    <t>+01:00 West Africa Time - Brazzaville, Pointe-Noire, Dolisie, Nkayi</t>
  </si>
  <si>
    <t>Africa/Porto-Novo</t>
  </si>
  <si>
    <t>Benin</t>
  </si>
  <si>
    <t>BJ</t>
  </si>
  <si>
    <t>+01:00 West Africa Time - Cotonou, Abomey-Calavi, Porto-Novo, Parakou</t>
  </si>
  <si>
    <t>Africa/Douala</t>
  </si>
  <si>
    <t>Cameroon</t>
  </si>
  <si>
    <t>CM</t>
  </si>
  <si>
    <t>+01:00 West Africa Time - Douala, Yaoundé, Bamenda, Bafoussam</t>
  </si>
  <si>
    <t>Africa/Kinshasa</t>
  </si>
  <si>
    <t>Democratic Republic of the Congo</t>
  </si>
  <si>
    <t>CD</t>
  </si>
  <si>
    <t>+01:00 West Africa Time - Kinshasa, Kikwit, Masina, Mbandaka</t>
  </si>
  <si>
    <t>Africa/Lagos</t>
  </si>
  <si>
    <t>Nigeria</t>
  </si>
  <si>
    <t>NG</t>
  </si>
  <si>
    <t>+01:00 West Africa Time - Lagos, Kano, Ibadan, Abuja</t>
  </si>
  <si>
    <t>Africa/Libreville</t>
  </si>
  <si>
    <t>Africa/Luanda</t>
  </si>
  <si>
    <t>Africa/Niamey</t>
  </si>
  <si>
    <t>Gabon</t>
  </si>
  <si>
    <t>GA</t>
  </si>
  <si>
    <t>+01:00 West Africa Time - Libreville, Port-Gentil, Franceville, Owendo</t>
  </si>
  <si>
    <t>Angola</t>
  </si>
  <si>
    <t>AO</t>
  </si>
  <si>
    <t>+01:00 West Africa Time - Luanda, Lubango, Huambo, Benguela</t>
  </si>
  <si>
    <t>Africa/Ndjamena</t>
  </si>
  <si>
    <t>Chad</t>
  </si>
  <si>
    <t>TD</t>
  </si>
  <si>
    <t>+01:00 West Africa Time - N'Djamena, Moundou, Abéché, Sarh</t>
  </si>
  <si>
    <t>Niger</t>
  </si>
  <si>
    <t>NE</t>
  </si>
  <si>
    <t>+01:00 West Africa Time - Niamey, Maradi, Zinder, Tahoua</t>
  </si>
  <si>
    <t>Africa/Bujumbura</t>
  </si>
  <si>
    <t>Burundi</t>
  </si>
  <si>
    <t>BI</t>
  </si>
  <si>
    <t>+02:00 Central Africa Time - Bujumbura, Gitega, Ngozi, Rumonge</t>
  </si>
  <si>
    <t>Africa/Gaborone</t>
  </si>
  <si>
    <t>Botswana</t>
  </si>
  <si>
    <t>BW</t>
  </si>
  <si>
    <t>+02:00 Central Africa Time - Gaborone, Francistown, Mogoditshane, Maun</t>
  </si>
  <si>
    <t>Africa/Harare</t>
  </si>
  <si>
    <t>Zimbabwe</t>
  </si>
  <si>
    <t>ZW</t>
  </si>
  <si>
    <t>+02:00 Central Africa Time - Harare, Bulawayo, Chitungwiza, Mutare</t>
  </si>
  <si>
    <t>Africa/Juba</t>
  </si>
  <si>
    <t>South Sudan</t>
  </si>
  <si>
    <t>SS</t>
  </si>
  <si>
    <t>+02:00 Central Africa Time - Juba, Winejok, Yei, Malakal</t>
  </si>
  <si>
    <t>Africa/Khartoum</t>
  </si>
  <si>
    <t>Sudan</t>
  </si>
  <si>
    <t>SD</t>
  </si>
  <si>
    <t>+02:00 Central Africa Time - Khartoum, Omdurman, Khartoum North, Nyala</t>
  </si>
  <si>
    <t>Africa/Kigali</t>
  </si>
  <si>
    <t>Rwanda</t>
  </si>
  <si>
    <t>RW</t>
  </si>
  <si>
    <t>+02:00 Central Africa Time - Kigali, Gisenyi, Butare, Gitarama</t>
  </si>
  <si>
    <t>Africa/Blantyre</t>
  </si>
  <si>
    <t>Malawi</t>
  </si>
  <si>
    <t>MW</t>
  </si>
  <si>
    <t>+02:00 Central Africa Time - Lilongwe, Blantyre, Mzuzu, Zomba</t>
  </si>
  <si>
    <t>Africa/Lubumbashi</t>
  </si>
  <si>
    <t>+02:00 Central Africa Time - Lubumbashi, Mbuji-Mayi, Kananga, Kisangani</t>
  </si>
  <si>
    <t>Africa/Lusaka</t>
  </si>
  <si>
    <t>Zambia</t>
  </si>
  <si>
    <t>ZM</t>
  </si>
  <si>
    <t>+02:00 Central Africa Time - Lusaka, Kitwe, Ndola, Chipata</t>
  </si>
  <si>
    <t>Africa/Maputo</t>
  </si>
  <si>
    <t>Mozambique</t>
  </si>
  <si>
    <t>MZ</t>
  </si>
  <si>
    <t>+02:00 Central Africa Time - Maputo, Matola, Nampula, Beira</t>
  </si>
  <si>
    <t>Eastern European Time</t>
  </si>
  <si>
    <t>Europe/Athens</t>
  </si>
  <si>
    <t>Greece</t>
  </si>
  <si>
    <t>GR</t>
  </si>
  <si>
    <t>EET</t>
  </si>
  <si>
    <t>+02:00 Eastern European Time - Athens, Thessaloníki, Pátra, Piraeus</t>
  </si>
  <si>
    <t>Asia/Beirut</t>
  </si>
  <si>
    <t>Asia</t>
  </si>
  <si>
    <t>Lebanon</t>
  </si>
  <si>
    <t>LB</t>
  </si>
  <si>
    <t>+02:00 Eastern European Time - Beirut, Ra’s Bayrūt, Tripoli, Sidon</t>
  </si>
  <si>
    <t>Europe/Bucharest</t>
  </si>
  <si>
    <t>Romania</t>
  </si>
  <si>
    <t>RO</t>
  </si>
  <si>
    <t>+02:00 Eastern European Time - Bucharest, Sector 3, Iaşi, Sector 6</t>
  </si>
  <si>
    <t>Africa/Cairo</t>
  </si>
  <si>
    <t>Egypt</t>
  </si>
  <si>
    <t>EG</t>
  </si>
  <si>
    <t>+02:00 Eastern European Time - Cairo, Alexandria, Giza, Shubrā al Khaymah</t>
  </si>
  <si>
    <t>Europe/Chisinau</t>
  </si>
  <si>
    <t>Moldova</t>
  </si>
  <si>
    <t>MD</t>
  </si>
  <si>
    <t>+02:00 Eastern European Time - Chisinau, Tiraspol, Bălţi, Bender</t>
  </si>
  <si>
    <t>Europe/Tiraspol</t>
  </si>
  <si>
    <t>Asia/Gaza</t>
  </si>
  <si>
    <t>Palestinian Territory</t>
  </si>
  <si>
    <t>PS</t>
  </si>
  <si>
    <t>+02:00 Eastern European Time - East Jerusalem, Gaza, Khān Yūnis, Jabālyā</t>
  </si>
  <si>
    <t>Asia/Hebron</t>
  </si>
  <si>
    <t>Europe/Helsinki</t>
  </si>
  <si>
    <t>Finland</t>
  </si>
  <si>
    <t>FI</t>
  </si>
  <si>
    <t>+02:00 Eastern European Time - Helsinki, Espoo, Tampere, Oulu</t>
  </si>
  <si>
    <t>Europe/Mariehamn</t>
  </si>
  <si>
    <t>Europe/Kaliningrad</t>
  </si>
  <si>
    <t>Russia</t>
  </si>
  <si>
    <t>RU</t>
  </si>
  <si>
    <t>+02:00 Eastern European Time - Kaliningrad, Chernyakhovsk, Sovetsk, Baltiysk</t>
  </si>
  <si>
    <t>Europe/Kyiv</t>
  </si>
  <si>
    <t>Ukraine</t>
  </si>
  <si>
    <t>UA</t>
  </si>
  <si>
    <t>+02:00 Eastern European Time - Kyiv, Kharkiv, Odesa, Dnipro</t>
  </si>
  <si>
    <t>Europe/Uzhgorod</t>
  </si>
  <si>
    <t>Europe/Zaporozhye</t>
  </si>
  <si>
    <t>Europe/Kiev</t>
  </si>
  <si>
    <t>Aland Islands</t>
  </si>
  <si>
    <t>AX</t>
  </si>
  <si>
    <t>+02:00 Eastern European Time - Mariehamn</t>
  </si>
  <si>
    <t>Asia/Famagusta</t>
  </si>
  <si>
    <t>Cyprus</t>
  </si>
  <si>
    <t>CY</t>
  </si>
  <si>
    <t>+02:00 Eastern European Time - Nicosia, Limassol, Larnaca, Stróvolos</t>
  </si>
  <si>
    <t>Asia/Nicosia</t>
  </si>
  <si>
    <t>Europe/Nicosia</t>
  </si>
  <si>
    <t>Europe/Riga</t>
  </si>
  <si>
    <t>Latvia</t>
  </si>
  <si>
    <t>LV</t>
  </si>
  <si>
    <t>+02:00 Eastern European Time - Riga, Daugavpils, Liepāja, Jelgava</t>
  </si>
  <si>
    <t>Europe/Sofia</t>
  </si>
  <si>
    <t>Bulgaria</t>
  </si>
  <si>
    <t>BG</t>
  </si>
  <si>
    <t>+02:00 Eastern European Time - Sofia, Plovdiv, Varna, Burgas</t>
  </si>
  <si>
    <t>Europe/Tallinn</t>
  </si>
  <si>
    <t>Estonia</t>
  </si>
  <si>
    <t>EE</t>
  </si>
  <si>
    <t>+02:00 Eastern European Time - Tallinn, Tartu, Narva, Pärnu</t>
  </si>
  <si>
    <t>Africa/Tripoli</t>
  </si>
  <si>
    <t>Libya</t>
  </si>
  <si>
    <t>LY</t>
  </si>
  <si>
    <t>+02:00 Eastern European Time - Tripoli, Benghazi, Misratah, Zliten</t>
  </si>
  <si>
    <t>Europe/Vilnius</t>
  </si>
  <si>
    <t>Lithuania</t>
  </si>
  <si>
    <t>LT</t>
  </si>
  <si>
    <t>+02:00 Eastern European Time - Vilnius, Kaunas, Klaipėda, Šiauliai</t>
  </si>
  <si>
    <t>Israel Time</t>
  </si>
  <si>
    <t>Asia/Jerusalem</t>
  </si>
  <si>
    <t>Israel</t>
  </si>
  <si>
    <t>IL</t>
  </si>
  <si>
    <t>IST</t>
  </si>
  <si>
    <t>+02:00 Israel Time - Jerusalem, Tel Aviv, West Jerusalem, Haifa</t>
  </si>
  <si>
    <t>Asia/Tel_Aviv</t>
  </si>
  <si>
    <t>South Africa Time</t>
  </si>
  <si>
    <t>Africa/Johannesburg</t>
  </si>
  <si>
    <t>South Africa</t>
  </si>
  <si>
    <t>ZA</t>
  </si>
  <si>
    <t>SAST</t>
  </si>
  <si>
    <t>+02:00 South Africa Time - Johannesburg, Cape Town, Durban, Pretoria</t>
  </si>
  <si>
    <t>Africa/Maseru</t>
  </si>
  <si>
    <t>Africa/Mbabane</t>
  </si>
  <si>
    <t>Eswatini</t>
  </si>
  <si>
    <t>SZ</t>
  </si>
  <si>
    <t>+02:00 South Africa Time - Manzini, Mbabane, Lobamba</t>
  </si>
  <si>
    <t>Lesotho</t>
  </si>
  <si>
    <t>LS</t>
  </si>
  <si>
    <t>+02:00 South Africa Time - Maseru, Maputsoe, Mohale's Hoek, Mafeteng</t>
  </si>
  <si>
    <t>Arabian Time</t>
  </si>
  <si>
    <t>Asia/Kuwait</t>
  </si>
  <si>
    <t>Kuwait</t>
  </si>
  <si>
    <t>KW</t>
  </si>
  <si>
    <t>+03:00 Arabian Time - Al Aḩmadī, Ḩawallī, As Sālimīyah, Şabāḩ as Sālim</t>
  </si>
  <si>
    <t>Asia/Bahrain</t>
  </si>
  <si>
    <t>Bahrain</t>
  </si>
  <si>
    <t>BH</t>
  </si>
  <si>
    <t>+03:00 Arabian Time - Ar Rifā‘, Manama, Al Muharraq, Dār Kulayb</t>
  </si>
  <si>
    <t>Asia/Baghdad</t>
  </si>
  <si>
    <t>Iraq</t>
  </si>
  <si>
    <t>IQ</t>
  </si>
  <si>
    <t>+03:00 Arabian Time - Baghdad, Al Mawşil al Jadīdah, Al Başrah al Qadīmah, Mosul</t>
  </si>
  <si>
    <t>Asia/Qatar</t>
  </si>
  <si>
    <t>Qatar</t>
  </si>
  <si>
    <t>QA</t>
  </si>
  <si>
    <t>+03:00 Arabian Time - Doha, Ar Rayyān, Al Maţār al ‘Atīq, Al Manşūrah</t>
  </si>
  <si>
    <t>Asia/Riyadh</t>
  </si>
  <si>
    <t>Saudi Arabia</t>
  </si>
  <si>
    <t>+03:00 Arabian Time - Jeddah, Riyadh, Makkah, Madinah</t>
  </si>
  <si>
    <t>Antarctica/Syowa</t>
  </si>
  <si>
    <t>Asia/Aden</t>
  </si>
  <si>
    <t>Yemen</t>
  </si>
  <si>
    <t>YE</t>
  </si>
  <si>
    <t>+03:00 Arabian Time - Sanaa, Aden, Al Ḩudaydah, Taiz</t>
  </si>
  <si>
    <t>Asia/Amman</t>
  </si>
  <si>
    <t>Jordan</t>
  </si>
  <si>
    <t>JO</t>
  </si>
  <si>
    <t>GMT+3</t>
  </si>
  <si>
    <t>+03:00 Asia/Amman - Amman, Zarqa, Irbid, Russeifa</t>
  </si>
  <si>
    <t>Asia/Damascus</t>
  </si>
  <si>
    <t>Syria</t>
  </si>
  <si>
    <t>SY</t>
  </si>
  <si>
    <t>+03:00 Asia/Damascus - Aleppo, Damascus, Homs, Latakia</t>
  </si>
  <si>
    <t>East Africa Time</t>
  </si>
  <si>
    <t>Africa/Addis_Ababa</t>
  </si>
  <si>
    <t>Ethiopia</t>
  </si>
  <si>
    <t>ET</t>
  </si>
  <si>
    <t>EAT</t>
  </si>
  <si>
    <t>+03:00 East Africa Time - Addis Ababa, Jijiga, Gonder, Mek'ele</t>
  </si>
  <si>
    <t>Indian/Antananarivo</t>
  </si>
  <si>
    <t>Madagascar</t>
  </si>
  <si>
    <t>MG</t>
  </si>
  <si>
    <t>+03:00 East Africa Time - Antananarivo, Toamasina, Antsirabe, Mahajanga</t>
  </si>
  <si>
    <t>Africa/Asmara</t>
  </si>
  <si>
    <t>Eritrea</t>
  </si>
  <si>
    <t>ER</t>
  </si>
  <si>
    <t>+03:00 East Africa Time - Asmara, Keren, Himora, Massawa</t>
  </si>
  <si>
    <t>Africa/Dar_es_Salaam</t>
  </si>
  <si>
    <t>Tanzania</t>
  </si>
  <si>
    <t>TZ</t>
  </si>
  <si>
    <t>+03:00 East Africa Time - Dar es Salaam, Mwanza, Dodoma, Zanzibar</t>
  </si>
  <si>
    <t>Africa/Djibouti</t>
  </si>
  <si>
    <t>Djibouti</t>
  </si>
  <si>
    <t>DJ</t>
  </si>
  <si>
    <t>+03:00 East Africa Time - Djibouti, Ali Sabih, Dikhil, Tadjoura</t>
  </si>
  <si>
    <t>Africa/Kampala</t>
  </si>
  <si>
    <t>Uganda</t>
  </si>
  <si>
    <t>UG</t>
  </si>
  <si>
    <t>+03:00 East Africa Time - Kampala, Nansana, Kira, Bunamwaya</t>
  </si>
  <si>
    <t>Indian/Mayotte</t>
  </si>
  <si>
    <t>Mayotte</t>
  </si>
  <si>
    <t>+03:00 East Africa Time - Mamoudzou, Koungou, Labattoir, Kaouéni</t>
  </si>
  <si>
    <t>Africa/Mogadishu</t>
  </si>
  <si>
    <t>Somalia</t>
  </si>
  <si>
    <t>SO</t>
  </si>
  <si>
    <t>+03:00 East Africa Time - Mogadishu, Borama, Hargeysa, Berbera</t>
  </si>
  <si>
    <t>Indian/Comoro</t>
  </si>
  <si>
    <t>Comoros</t>
  </si>
  <si>
    <t>KM</t>
  </si>
  <si>
    <t>+03:00 East Africa Time - Moroni, Moutsamoudou, Fomboni</t>
  </si>
  <si>
    <t>Africa/Nairobi</t>
  </si>
  <si>
    <t>Kenya</t>
  </si>
  <si>
    <t>KE</t>
  </si>
  <si>
    <t>+03:00 East Africa Time - Nairobi, Kakamega, Mombasa, Nakuru</t>
  </si>
  <si>
    <t>Africa/Asmera</t>
  </si>
  <si>
    <t>Moscow Time</t>
  </si>
  <si>
    <t>Europe/Minsk</t>
  </si>
  <si>
    <t>Belarus</t>
  </si>
  <si>
    <t>BY</t>
  </si>
  <si>
    <t>MSK</t>
  </si>
  <si>
    <t>+03:00 Moscow Time - Minsk, Homyel', Hrodna, Vitebsk</t>
  </si>
  <si>
    <t>Europe/Kirov</t>
  </si>
  <si>
    <t>+03:00 Moscow Time - Moscow, Saint Petersburg, Nizhniy Novgorod, Kazan</t>
  </si>
  <si>
    <t>Europe/Moscow</t>
  </si>
  <si>
    <t>Europe/Volgograd</t>
  </si>
  <si>
    <t>W-SU</t>
  </si>
  <si>
    <t>Europe/Simferopol</t>
  </si>
  <si>
    <t>+03:00 Moscow Time - Sevastopol, Simferopol, Kerch, Yevpatoriya</t>
  </si>
  <si>
    <t>Syowa Time</t>
  </si>
  <si>
    <t>SYOT</t>
  </si>
  <si>
    <t>+03:00 Syowa Time - Syowa</t>
  </si>
  <si>
    <t>Turkey Time</t>
  </si>
  <si>
    <t>Europe/Istanbul</t>
  </si>
  <si>
    <t>Turkey</t>
  </si>
  <si>
    <t>TR</t>
  </si>
  <si>
    <t>TRT</t>
  </si>
  <si>
    <t>+03:00 Turkey Time - Istanbul, Ankara, Bursa, İzmir</t>
  </si>
  <si>
    <t>Asia/Istanbul</t>
  </si>
  <si>
    <t>Iran Time</t>
  </si>
  <si>
    <t>Asia/Tehran</t>
  </si>
  <si>
    <t>Iran</t>
  </si>
  <si>
    <t>IR</t>
  </si>
  <si>
    <t>IRST</t>
  </si>
  <si>
    <t>+03:30 Iran Time - Tehran, Mashhad, Isfahan, Karaj</t>
  </si>
  <si>
    <t>Armenia Time</t>
  </si>
  <si>
    <t>Asia/Yerevan</t>
  </si>
  <si>
    <t>Armenia</t>
  </si>
  <si>
    <t>AM</t>
  </si>
  <si>
    <t>+04:00 Armenia Time - Yerevan, Malatia-Sebastia, Shengavit, Nor Nork</t>
  </si>
  <si>
    <t>Azerbaijan Time</t>
  </si>
  <si>
    <t>Asia/Baku</t>
  </si>
  <si>
    <t>Azerbaijan</t>
  </si>
  <si>
    <t>AZ</t>
  </si>
  <si>
    <t>AZT</t>
  </si>
  <si>
    <t>+04:00 Azerbaijan Time - Baku, Sumqayıt, Ganja, Lankaran</t>
  </si>
  <si>
    <t>Georgia Time</t>
  </si>
  <si>
    <t>Asia/Tbilisi</t>
  </si>
  <si>
    <t>Georgia</t>
  </si>
  <si>
    <t>GE</t>
  </si>
  <si>
    <t>GET</t>
  </si>
  <si>
    <t>+04:00 Georgia Time - Tbilisi, Batumi, Kutaisi, Rustavi</t>
  </si>
  <si>
    <t>Gulf Time</t>
  </si>
  <si>
    <t>Asia/Dubai</t>
  </si>
  <si>
    <t>United Arab Emirates</t>
  </si>
  <si>
    <t>AE</t>
  </si>
  <si>
    <t>+04:00 Gulf Time - Dubai, Abu Dhabi, Sharjah, Al Ain City</t>
  </si>
  <si>
    <t>Asia/Muscat</t>
  </si>
  <si>
    <t>Indian/Mahe</t>
  </si>
  <si>
    <t>Indian/Reunion</t>
  </si>
  <si>
    <t>Oman</t>
  </si>
  <si>
    <t>OM</t>
  </si>
  <si>
    <t>+04:00 Gulf Time - Muscat, Seeb, Bawshar, ‘Ibrī</t>
  </si>
  <si>
    <t>Mauritius Time</t>
  </si>
  <si>
    <t>Indian/Mauritius</t>
  </si>
  <si>
    <t>Mauritius</t>
  </si>
  <si>
    <t>MU</t>
  </si>
  <si>
    <t>MUT</t>
  </si>
  <si>
    <t>+04:00 Mauritius Time - Port Louis, Vacoas, Beau Bassin-Rose Hill, Curepipe</t>
  </si>
  <si>
    <t>Réunion Time</t>
  </si>
  <si>
    <t>Reunion</t>
  </si>
  <si>
    <t>RE</t>
  </si>
  <si>
    <t>RET</t>
  </si>
  <si>
    <t>+04:00 Réunion Time - Saint-Denis, Saint-Paul, Saint-Pierre, Le Tampon</t>
  </si>
  <si>
    <t>Samara Time</t>
  </si>
  <si>
    <t>Europe/Astrakhan</t>
  </si>
  <si>
    <t>SAMT</t>
  </si>
  <si>
    <t>+04:00 Samara Time - Samara, Saratov, Tolyatti, Izhevsk</t>
  </si>
  <si>
    <t>Europe/Samara</t>
  </si>
  <si>
    <t>Europe/Saratov</t>
  </si>
  <si>
    <t>Europe/Ulyanovsk</t>
  </si>
  <si>
    <t>Seychelles Time</t>
  </si>
  <si>
    <t>Seychelles</t>
  </si>
  <si>
    <t>SC</t>
  </si>
  <si>
    <t>SCT</t>
  </si>
  <si>
    <t>+04:00 Seychelles Time - Victoria</t>
  </si>
  <si>
    <t>Afghanistan Time</t>
  </si>
  <si>
    <t>Asia/Kabul</t>
  </si>
  <si>
    <t>Afghanistan</t>
  </si>
  <si>
    <t>AFT</t>
  </si>
  <si>
    <t>+04:30 Afghanistan Time - Kabul, Herāt, Mazār-e Sharīf, Kandahār</t>
  </si>
  <si>
    <t>French Southern &amp; Antarctic Time</t>
  </si>
  <si>
    <t>Indian/Kerguelen</t>
  </si>
  <si>
    <t>French Southern Territories</t>
  </si>
  <si>
    <t>TF</t>
  </si>
  <si>
    <t>FSAT</t>
  </si>
  <si>
    <t>+05:00 French Southern &amp; Antarctic Time - Port-aux-Français</t>
  </si>
  <si>
    <t>Maldives Time</t>
  </si>
  <si>
    <t>Indian/Maldives</t>
  </si>
  <si>
    <t>Maldives</t>
  </si>
  <si>
    <t>MV</t>
  </si>
  <si>
    <t>MVT</t>
  </si>
  <si>
    <t>+05:00 Maldives Time - Male</t>
  </si>
  <si>
    <t>Mawson Time</t>
  </si>
  <si>
    <t>Antarctica/Mawson</t>
  </si>
  <si>
    <t>MAWT</t>
  </si>
  <si>
    <t>+05:00 Mawson Time - Mawson, Vostok</t>
  </si>
  <si>
    <t>Antarctica/Vostok</t>
  </si>
  <si>
    <t>Pakistan Time</t>
  </si>
  <si>
    <t>Asia/Karachi</t>
  </si>
  <si>
    <t>Pakistan</t>
  </si>
  <si>
    <t>PK</t>
  </si>
  <si>
    <t>PKT</t>
  </si>
  <si>
    <t>+05:00 Pakistan Time - Lahore, Karachi, Peshawar, Faisalabad</t>
  </si>
  <si>
    <t>Tajikistan Time</t>
  </si>
  <si>
    <t>Asia/Dushanbe</t>
  </si>
  <si>
    <t>Tajikistan</t>
  </si>
  <si>
    <t>TJ</t>
  </si>
  <si>
    <t>TJT</t>
  </si>
  <si>
    <t>+05:00 Tajikistan Time - Dushanbe, Isfara, Istaravshan, Kŭlob</t>
  </si>
  <si>
    <t>Turkmenistan Time</t>
  </si>
  <si>
    <t>Asia/Ashgabat</t>
  </si>
  <si>
    <t>Turkmenistan</t>
  </si>
  <si>
    <t>TM</t>
  </si>
  <si>
    <t>TMT</t>
  </si>
  <si>
    <t>+05:00 Turkmenistan Time - Ashgabat, Türkmenabat, Daşoguz, Mary</t>
  </si>
  <si>
    <t>Asia/Ashkhabad</t>
  </si>
  <si>
    <t>Uzbekistan Time</t>
  </si>
  <si>
    <t>Asia/Samarkand</t>
  </si>
  <si>
    <t>Uzbekistan</t>
  </si>
  <si>
    <t>UZ</t>
  </si>
  <si>
    <t>UZT</t>
  </si>
  <si>
    <t>+05:00 Uzbekistan Time - Tashkent, Namangan, Samarkand, Andijon</t>
  </si>
  <si>
    <t>Asia/Tashkent</t>
  </si>
  <si>
    <t>West Kazakhstan Time</t>
  </si>
  <si>
    <t>Asia/Almaty</t>
  </si>
  <si>
    <t>Kazakhstan</t>
  </si>
  <si>
    <t>KZ</t>
  </si>
  <si>
    <t>AQTT</t>
  </si>
  <si>
    <t>+05:00 West Kazakhstan Time - Almaty, Shymkent, Aktobe, Karagandy</t>
  </si>
  <si>
    <t>Asia/Aqtau</t>
  </si>
  <si>
    <t>Asia/Aqtobe</t>
  </si>
  <si>
    <t>Asia/Atyrau</t>
  </si>
  <si>
    <t>Asia/Oral</t>
  </si>
  <si>
    <t>Asia/Qostanay</t>
  </si>
  <si>
    <t>Asia/Qyzylorda</t>
  </si>
  <si>
    <t>Yekaterinburg Time</t>
  </si>
  <si>
    <t>Asia/Yekaterinburg</t>
  </si>
  <si>
    <t>YEKT</t>
  </si>
  <si>
    <t>+05:00 Yekaterinburg Time - Yekaterinburg, Chelyabinsk, Ufa, Perm</t>
  </si>
  <si>
    <t>India Time</t>
  </si>
  <si>
    <t>Asia/Colombo</t>
  </si>
  <si>
    <t>Sri Lanka</t>
  </si>
  <si>
    <t>LK</t>
  </si>
  <si>
    <t>+05:30 India Time - Colombo, Dehiwala-Mount Lavinia, Maharagama, Jaffna</t>
  </si>
  <si>
    <t>Asia/Kolkata</t>
  </si>
  <si>
    <t>India</t>
  </si>
  <si>
    <t>IN</t>
  </si>
  <si>
    <t>+05:30 India Time - Mumbai, Delhi, Bengaluru, Hyderābād</t>
  </si>
  <si>
    <t>Asia/Calcutta</t>
  </si>
  <si>
    <t>Nepal Time</t>
  </si>
  <si>
    <t>Asia/Kathmandu</t>
  </si>
  <si>
    <t>Nepal</t>
  </si>
  <si>
    <t>NP</t>
  </si>
  <si>
    <t>NPT</t>
  </si>
  <si>
    <t>+05:45 Nepal Time - Kathmandu, Bharatpur, Pātan, Birgañj</t>
  </si>
  <si>
    <t>Asia/Katmandu</t>
  </si>
  <si>
    <t>Bangladesh Time</t>
  </si>
  <si>
    <t>Asia/Dhaka</t>
  </si>
  <si>
    <t>Bangladesh</t>
  </si>
  <si>
    <t>BD</t>
  </si>
  <si>
    <t>BST</t>
  </si>
  <si>
    <t>+06:00 Bangladesh Time - Dhaka, Chattogram, Gazipur, Khulna</t>
  </si>
  <si>
    <t>Asia/Dacca</t>
  </si>
  <si>
    <t>Bhutan Time</t>
  </si>
  <si>
    <t>Asia/Thimphu</t>
  </si>
  <si>
    <t>Bhutan</t>
  </si>
  <si>
    <t>BT</t>
  </si>
  <si>
    <t>BTT</t>
  </si>
  <si>
    <t>+06:00 Bhutan Time - Thimphu, Phuntsholing, Tsirang, Punākha</t>
  </si>
  <si>
    <t>Asia/Thimbu</t>
  </si>
  <si>
    <t>China Time</t>
  </si>
  <si>
    <t>Asia/Urumqi</t>
  </si>
  <si>
    <t>China</t>
  </si>
  <si>
    <t>CN</t>
  </si>
  <si>
    <t>+06:00 China Time - Ürümqi, Shihezi, Korla, Aqsu</t>
  </si>
  <si>
    <t>Asia/Kashgar</t>
  </si>
  <si>
    <t>Indian Ocean Time</t>
  </si>
  <si>
    <t>Indian/Chagos</t>
  </si>
  <si>
    <t>British Indian Ocean Territory</t>
  </si>
  <si>
    <t>IO</t>
  </si>
  <si>
    <t>IOT</t>
  </si>
  <si>
    <t>+06:00 Indian Ocean Time - Chagos</t>
  </si>
  <si>
    <t>Kyrgyzstan Time</t>
  </si>
  <si>
    <t>Asia/Bishkek</t>
  </si>
  <si>
    <t>Kyrgyzstan</t>
  </si>
  <si>
    <t>KG</t>
  </si>
  <si>
    <t>KGT</t>
  </si>
  <si>
    <t>+06:00 Kyrgyzstan Time - Bishkek, Osh, Jalal-Abad, Karakol</t>
  </si>
  <si>
    <t>Omsk Time</t>
  </si>
  <si>
    <t>Asia/Omsk</t>
  </si>
  <si>
    <t>OMST</t>
  </si>
  <si>
    <t>+06:00 Omsk Time - Omsk, Tara, Kalachinsk, Isil’kul’</t>
  </si>
  <si>
    <t>Cocos Islands Time</t>
  </si>
  <si>
    <t>Indian/Cocos</t>
  </si>
  <si>
    <t>Cocos Islands</t>
  </si>
  <si>
    <t>CC</t>
  </si>
  <si>
    <t>CCT</t>
  </si>
  <si>
    <t>+06:30 Cocos Islands Time - West Island</t>
  </si>
  <si>
    <t>Myanmar Time</t>
  </si>
  <si>
    <t>Asia/Yangon</t>
  </si>
  <si>
    <t>Myanmar</t>
  </si>
  <si>
    <t>MM</t>
  </si>
  <si>
    <t>MMT</t>
  </si>
  <si>
    <t>+06:30 Myanmar Time - Yangon, Mandalay, Nay Pyi Taw, Mawlamyine</t>
  </si>
  <si>
    <t>Asia/Rangoon</t>
  </si>
  <si>
    <t>Christmas Island Time</t>
  </si>
  <si>
    <t>Indian/Christmas</t>
  </si>
  <si>
    <t>Christmas Island</t>
  </si>
  <si>
    <t>CX</t>
  </si>
  <si>
    <t>CXT</t>
  </si>
  <si>
    <t>+07:00 Christmas Island Time - Flying Fish Cove</t>
  </si>
  <si>
    <t>Davis Time</t>
  </si>
  <si>
    <t>Antarctica/Davis</t>
  </si>
  <si>
    <t>DAVT</t>
  </si>
  <si>
    <t>+07:00 Davis Time - Davis</t>
  </si>
  <si>
    <t>Hovd Time</t>
  </si>
  <si>
    <t>Asia/Hovd</t>
  </si>
  <si>
    <t>Mongolia</t>
  </si>
  <si>
    <t>MN</t>
  </si>
  <si>
    <t>HOVT</t>
  </si>
  <si>
    <t>+07:00 Hovd Time - Ulaangom, Khovd, Ölgii, Altai</t>
  </si>
  <si>
    <t>Indochina Time</t>
  </si>
  <si>
    <t>Asia/Bangkok</t>
  </si>
  <si>
    <t>Thailand</t>
  </si>
  <si>
    <t>TH</t>
  </si>
  <si>
    <t>ICT</t>
  </si>
  <si>
    <t>+07:00 Indochina Time - Bangkok, Samut Prakan, Mueang Nonthaburi, Chon Buri</t>
  </si>
  <si>
    <t>Asia/Phnom_Penh</t>
  </si>
  <si>
    <t>Asia/Vientiane</t>
  </si>
  <si>
    <t>Asia/Ho_Chi_Minh</t>
  </si>
  <si>
    <t>Vietnam</t>
  </si>
  <si>
    <t>VN</t>
  </si>
  <si>
    <t>+07:00 Indochina Time - Ho Chi Minh City, Da Nang, Biên Hòa, Cần Thơ</t>
  </si>
  <si>
    <t>Asia/Saigon</t>
  </si>
  <si>
    <t>Cambodia</t>
  </si>
  <si>
    <t>KH</t>
  </si>
  <si>
    <t>+07:00 Indochina Time - Phnom Penh, Takeo, Siem Reap, Battambang</t>
  </si>
  <si>
    <t>Laos</t>
  </si>
  <si>
    <t>LA</t>
  </si>
  <si>
    <t>+07:00 Indochina Time - Vientiane, Savannakhet, Pakse, Thakhèk</t>
  </si>
  <si>
    <t>Novosibirsk Time</t>
  </si>
  <si>
    <t>Asia/Barnaul</t>
  </si>
  <si>
    <t>NOVT</t>
  </si>
  <si>
    <t>+07:00 Novosibirsk Time - Novosibirsk, Krasnoyarsk, Barnaul, Tomsk</t>
  </si>
  <si>
    <t>Asia/Krasnoyarsk</t>
  </si>
  <si>
    <t>Asia/Novokuznetsk</t>
  </si>
  <si>
    <t>Asia/Novosibirsk</t>
  </si>
  <si>
    <t>Asia/Tomsk</t>
  </si>
  <si>
    <t>Western Indonesia Time</t>
  </si>
  <si>
    <t>Asia/Jakarta</t>
  </si>
  <si>
    <t>Indonesia</t>
  </si>
  <si>
    <t>ID</t>
  </si>
  <si>
    <t>WIB</t>
  </si>
  <si>
    <t>+07:00 Western Indonesia Time - Jakarta, Surabaya, Bekasi, Bandung</t>
  </si>
  <si>
    <t>Asia/Pontianak</t>
  </si>
  <si>
    <t>Australian Western Time</t>
  </si>
  <si>
    <t>Antarctica/Casey</t>
  </si>
  <si>
    <t>AWST</t>
  </si>
  <si>
    <t>+08:00 Australian Western Time - Casey</t>
  </si>
  <si>
    <t>Australia/Perth</t>
  </si>
  <si>
    <t>Australia</t>
  </si>
  <si>
    <t>AU</t>
  </si>
  <si>
    <t>+08:00 Australian Western Time - Perth, Mandurah, Bunbury, Baldivis</t>
  </si>
  <si>
    <t>Australia/West</t>
  </si>
  <si>
    <t>Brunei Darussalam Time</t>
  </si>
  <si>
    <t>Asia/Brunei</t>
  </si>
  <si>
    <t>Brunei</t>
  </si>
  <si>
    <t>BN</t>
  </si>
  <si>
    <t>BNT</t>
  </si>
  <si>
    <t>+08:00 Brunei Darussalam Time - Bandar Seri Begawan, Sengkurong, Mentiri, Kuala Belait</t>
  </si>
  <si>
    <t>Central Indonesia Time</t>
  </si>
  <si>
    <t>Asia/Makassar</t>
  </si>
  <si>
    <t>WITA</t>
  </si>
  <si>
    <t>+08:00 Central Indonesia Time - Makassar, Samarinda, Denpasar, Balikpapan</t>
  </si>
  <si>
    <t>Asia/Ujung_Pandang</t>
  </si>
  <si>
    <t>Asia/Macau</t>
  </si>
  <si>
    <t>Macao</t>
  </si>
  <si>
    <t>MO</t>
  </si>
  <si>
    <t>+08:00 China Time - Macau, Taipa, Luhuan, Lai Chi Van</t>
  </si>
  <si>
    <t>Asia/Macao</t>
  </si>
  <si>
    <t>Asia/Shanghai</t>
  </si>
  <si>
    <t>+08:00 China Time - Shanghai, Beijing, Shenzhen, Guangzhou</t>
  </si>
  <si>
    <t>PRC</t>
  </si>
  <si>
    <t>Asia/Chongqing</t>
  </si>
  <si>
    <t>Asia/Harbin</t>
  </si>
  <si>
    <t>Asia/Chungking</t>
  </si>
  <si>
    <t>Hong Kong Time</t>
  </si>
  <si>
    <t>Asia/Hong_Kong</t>
  </si>
  <si>
    <t>Hong Kong</t>
  </si>
  <si>
    <t>HK</t>
  </si>
  <si>
    <t>HKT</t>
  </si>
  <si>
    <t>+08:00 Hong Kong Time - Hong Kong, New Territories, Kowloon, Hong Kong Island</t>
  </si>
  <si>
    <t>Hongkong</t>
  </si>
  <si>
    <t>Irkutsk Time</t>
  </si>
  <si>
    <t>Asia/Irkutsk</t>
  </si>
  <si>
    <t>IRKT</t>
  </si>
  <si>
    <t>+08:00 Irkutsk Time - Irkutsk, Ulan-Ude, Bratsk, Angarsk</t>
  </si>
  <si>
    <t>Malaysia Time</t>
  </si>
  <si>
    <t>Asia/Kuala_Lumpur</t>
  </si>
  <si>
    <t>Malaysia</t>
  </si>
  <si>
    <t>MY</t>
  </si>
  <si>
    <t>MYT</t>
  </si>
  <si>
    <t>+08:00 Malaysia Time - Kuala Lumpur, Petaling Jaya, Klang, Johor Bahru</t>
  </si>
  <si>
    <t>Asia/Kuching</t>
  </si>
  <si>
    <t>Philippine Time</t>
  </si>
  <si>
    <t>Asia/Manila</t>
  </si>
  <si>
    <t>Philippines</t>
  </si>
  <si>
    <t>PH</t>
  </si>
  <si>
    <t>PHT</t>
  </si>
  <si>
    <t>+08:00 Philippine Time - Quezon City, Davao, Manila, Caloocan City</t>
  </si>
  <si>
    <t>Singapore Time</t>
  </si>
  <si>
    <t>Asia/Singapore</t>
  </si>
  <si>
    <t>Singapore</t>
  </si>
  <si>
    <t>SG</t>
  </si>
  <si>
    <t>SGT</t>
  </si>
  <si>
    <t>+08:00 Singapore Time - Singapore, Ulu Bedok, Bedok New Town, Tampines Estate</t>
  </si>
  <si>
    <t>Taipei Time</t>
  </si>
  <si>
    <t>Asia/Taipei</t>
  </si>
  <si>
    <t>Taiwan</t>
  </si>
  <si>
    <t>TW</t>
  </si>
  <si>
    <t>TWT</t>
  </si>
  <si>
    <t>+08:00 Taipei Time - Taipei, New Taipei City, Kaohsiung, Taichung</t>
  </si>
  <si>
    <t>ROC</t>
  </si>
  <si>
    <t>Ulaanbaatar Time</t>
  </si>
  <si>
    <t>Asia/Choibalsan</t>
  </si>
  <si>
    <t>ULAT</t>
  </si>
  <si>
    <t>+08:00 Ulaanbaatar Time - Ulan Bator, Erdenet, Darhan, Mörön</t>
  </si>
  <si>
    <t>Asia/Ulaanbaatar</t>
  </si>
  <si>
    <t>Asia/Ulan_Bator</t>
  </si>
  <si>
    <t>Australian Central Western Time</t>
  </si>
  <si>
    <t>Australia/Eucla</t>
  </si>
  <si>
    <t>ACWST</t>
  </si>
  <si>
    <t>+08:45 Australian Central Western Time - Eucla</t>
  </si>
  <si>
    <t>East Timor Time</t>
  </si>
  <si>
    <t>Asia/Dili</t>
  </si>
  <si>
    <t>Timor Leste</t>
  </si>
  <si>
    <t>TL</t>
  </si>
  <si>
    <t>TLT</t>
  </si>
  <si>
    <t>+09:00 East Timor Time - Dili, Maliana, Suai, Likisá</t>
  </si>
  <si>
    <t>Eastern Indonesia Time</t>
  </si>
  <si>
    <t>Asia/Jayapura</t>
  </si>
  <si>
    <t>WIT</t>
  </si>
  <si>
    <t>+09:00 Eastern Indonesia Time - Jayapura, Ambon, Sorong, Ternate</t>
  </si>
  <si>
    <t>Japan Time</t>
  </si>
  <si>
    <t>Asia/Tokyo</t>
  </si>
  <si>
    <t>Japan</t>
  </si>
  <si>
    <t>JP</t>
  </si>
  <si>
    <t>JST</t>
  </si>
  <si>
    <t>+09:00 Japan Time - Tokyo, Yokohama, Osaka, Nagoya</t>
  </si>
  <si>
    <t>Korean Time</t>
  </si>
  <si>
    <t>Asia/Pyongyang</t>
  </si>
  <si>
    <t>North Korea</t>
  </si>
  <si>
    <t>KP</t>
  </si>
  <si>
    <t>KST</t>
  </si>
  <si>
    <t>+09:00 Korean Time - Pyongyang, Hamhŭng, Namp’o, Sunch’ŏn</t>
  </si>
  <si>
    <t>Asia/Seoul</t>
  </si>
  <si>
    <t>South Korea</t>
  </si>
  <si>
    <t>KR</t>
  </si>
  <si>
    <t>+09:00 Korean Time - Seoul, Busan, Incheon, Daegu</t>
  </si>
  <si>
    <t>ROK</t>
  </si>
  <si>
    <t>Palau Time</t>
  </si>
  <si>
    <t>Pacific/Palau</t>
  </si>
  <si>
    <t>Palau</t>
  </si>
  <si>
    <t>PW</t>
  </si>
  <si>
    <t>PWT</t>
  </si>
  <si>
    <t>+09:00 Palau Time - Ngerulmud</t>
  </si>
  <si>
    <t>Yakutsk Time</t>
  </si>
  <si>
    <t>Asia/Chita</t>
  </si>
  <si>
    <t>YAKT</t>
  </si>
  <si>
    <t>+09:00 Yakutsk Time - Chita, Yakutsk, Blagoveshchensk, Belogorsk</t>
  </si>
  <si>
    <t>Asia/Khandyga</t>
  </si>
  <si>
    <t>Asia/Yakutsk</t>
  </si>
  <si>
    <t>Australian Central Time</t>
  </si>
  <si>
    <t>Australia/Adelaide</t>
  </si>
  <si>
    <t>ACST</t>
  </si>
  <si>
    <t>+09:30 Australian Central Time - Adelaide, Adelaide Hills, Mount Gambier, Morphett Vale</t>
  </si>
  <si>
    <t>Australia/Broken_Hill</t>
  </si>
  <si>
    <t>Australia/South</t>
  </si>
  <si>
    <t>Australia/Yancowinna</t>
  </si>
  <si>
    <t>Australia/Darwin</t>
  </si>
  <si>
    <t>+09:30 Australian Central Time - Darwin, Alice Springs, Palmerston</t>
  </si>
  <si>
    <t>Australia/North</t>
  </si>
  <si>
    <t>Australian Eastern Time</t>
  </si>
  <si>
    <t>Australia/Brisbane</t>
  </si>
  <si>
    <t>AEST</t>
  </si>
  <si>
    <t>+10:00 Australian Eastern Time - Brisbane, Gold Coast, Logan City, Townsville</t>
  </si>
  <si>
    <t>Australia/Lindeman</t>
  </si>
  <si>
    <t>Australia/Queensland</t>
  </si>
  <si>
    <t>Antarctica/Macquarie</t>
  </si>
  <si>
    <t>+10:00 Australian Eastern Time - Sydney, Melbourne, Canberra, Newcastle</t>
  </si>
  <si>
    <t>Australia/Hobart</t>
  </si>
  <si>
    <t>Australia/Melbourne</t>
  </si>
  <si>
    <t>Australia/Sydney</t>
  </si>
  <si>
    <t>Australia/Tasmania</t>
  </si>
  <si>
    <t>Australia/Currie</t>
  </si>
  <si>
    <t>Australia/Victoria</t>
  </si>
  <si>
    <t>Australia/ACT</t>
  </si>
  <si>
    <t>Australia/NSW</t>
  </si>
  <si>
    <t>Australia/Canberra</t>
  </si>
  <si>
    <t>Chamorro Time</t>
  </si>
  <si>
    <t>Pacific/Guam</t>
  </si>
  <si>
    <t>Guam</t>
  </si>
  <si>
    <t>GU</t>
  </si>
  <si>
    <t>ChST</t>
  </si>
  <si>
    <t>+10:00 Chamorro Time - Dededo Village, Yigo Village, Tamuning-Tumon-Harmon Village, Tamuning</t>
  </si>
  <si>
    <t>Pacific/Saipan</t>
  </si>
  <si>
    <t>Northern Mariana Islands</t>
  </si>
  <si>
    <t>MP</t>
  </si>
  <si>
    <t>+10:00 Chamorro Time - Saipan</t>
  </si>
  <si>
    <t>Chuuk Time</t>
  </si>
  <si>
    <t>Pacific/Chuuk</t>
  </si>
  <si>
    <t>Micronesia</t>
  </si>
  <si>
    <t>FM</t>
  </si>
  <si>
    <t>CHUT</t>
  </si>
  <si>
    <t>+10:00 Chuuk Time - Chuuk</t>
  </si>
  <si>
    <t>Pacific/Truk</t>
  </si>
  <si>
    <t>Pacific/Yap</t>
  </si>
  <si>
    <t>Dumont-d’Urville Time</t>
  </si>
  <si>
    <t>Antarctica/DumontDUrville</t>
  </si>
  <si>
    <t>DDUT</t>
  </si>
  <si>
    <t>+10:00 Dumont-d’Urville Time - DumontDUrville</t>
  </si>
  <si>
    <t>Papua New Guinea Time</t>
  </si>
  <si>
    <t>Pacific/Port_Moresby</t>
  </si>
  <si>
    <t>Papua New Guinea</t>
  </si>
  <si>
    <t>PG</t>
  </si>
  <si>
    <t>PGT</t>
  </si>
  <si>
    <t>+10:00 Papua New Guinea Time - Port Moresby, Lae, Mount Hagen, Popondetta</t>
  </si>
  <si>
    <t>Vladivostok Time</t>
  </si>
  <si>
    <t>Asia/Ust-Nera</t>
  </si>
  <si>
    <t>VLAT</t>
  </si>
  <si>
    <t>+10:00 Vladivostok Time - Khabarovsk, Vladivostok, Khabarovsk Vtoroy, Komsomolsk-on-Amur</t>
  </si>
  <si>
    <t>Asia/Vladivostok</t>
  </si>
  <si>
    <t>Lord Howe Time</t>
  </si>
  <si>
    <t>Australia/Lord_Howe</t>
  </si>
  <si>
    <t>LHST</t>
  </si>
  <si>
    <t>+10:30 Lord Howe Time - Lord Howe</t>
  </si>
  <si>
    <t>Australia/LHI</t>
  </si>
  <si>
    <t>Bougainville Time</t>
  </si>
  <si>
    <t>Pacific/Bougainville</t>
  </si>
  <si>
    <t>+11:00 Bougainville Time - Arawa</t>
  </si>
  <si>
    <t>Kosrae Time</t>
  </si>
  <si>
    <t>Pacific/Kosrae</t>
  </si>
  <si>
    <t>KOST</t>
  </si>
  <si>
    <t>+11:00 Kosrae Time - Kosrae, Palikir - National Government Center</t>
  </si>
  <si>
    <t>Pacific/Pohnpei</t>
  </si>
  <si>
    <t>New Caledonia Time</t>
  </si>
  <si>
    <t>Pacific/Noumea</t>
  </si>
  <si>
    <t>New Caledonia</t>
  </si>
  <si>
    <t>NC</t>
  </si>
  <si>
    <t>NCT</t>
  </si>
  <si>
    <t>+11:00 New Caledonia Time - Nouméa, Mont-Dore, Dumbéa</t>
  </si>
  <si>
    <t>Norfolk Island Time</t>
  </si>
  <si>
    <t>Pacific/Norfolk</t>
  </si>
  <si>
    <t>Norfolk Island</t>
  </si>
  <si>
    <t>NF</t>
  </si>
  <si>
    <t>NFT</t>
  </si>
  <si>
    <t>+11:00 Norfolk Island Time - Kingston</t>
  </si>
  <si>
    <t>Sakhalin Time</t>
  </si>
  <si>
    <t>Asia/Magadan</t>
  </si>
  <si>
    <t>SAKT</t>
  </si>
  <si>
    <t>+11:00 Sakhalin Time - Yuzhno-Sakhalinsk, Magadan, Korsakov, Kholmsk</t>
  </si>
  <si>
    <t>Asia/Sakhalin</t>
  </si>
  <si>
    <t>Asia/Srednekolymsk</t>
  </si>
  <si>
    <t>Solomon Islands Time</t>
  </si>
  <si>
    <t>Pacific/Guadalcanal</t>
  </si>
  <si>
    <t>Solomon Islands</t>
  </si>
  <si>
    <t>SB</t>
  </si>
  <si>
    <t>SBT</t>
  </si>
  <si>
    <t>+11:00 Solomon Islands Time - Honiara</t>
  </si>
  <si>
    <t>Pacific/Ponape</t>
  </si>
  <si>
    <t>Vanuatu Time</t>
  </si>
  <si>
    <t>Pacific/Efate</t>
  </si>
  <si>
    <t>Vanuatu</t>
  </si>
  <si>
    <t>VU</t>
  </si>
  <si>
    <t>VUT</t>
  </si>
  <si>
    <t>+11:00 Vanuatu Time - Port-Vila</t>
  </si>
  <si>
    <t>Fiji Time</t>
  </si>
  <si>
    <t>Pacific/Fiji</t>
  </si>
  <si>
    <t>Fiji</t>
  </si>
  <si>
    <t>FJ</t>
  </si>
  <si>
    <t>FJT</t>
  </si>
  <si>
    <t>+12:00 Fiji Time - Nasinu, Suva, Lautoka, Nadi</t>
  </si>
  <si>
    <t>Gilbert Islands Time</t>
  </si>
  <si>
    <t>Pacific/Tarawa</t>
  </si>
  <si>
    <t>Kiribati</t>
  </si>
  <si>
    <t>KI</t>
  </si>
  <si>
    <t>GILT</t>
  </si>
  <si>
    <t>+12:00 Gilbert Islands Time - Tarawa</t>
  </si>
  <si>
    <t>Pacific/Funafuti</t>
  </si>
  <si>
    <t>Pacific/Majuro</t>
  </si>
  <si>
    <t>Pacific/Wake</t>
  </si>
  <si>
    <t>Pacific/Wallis</t>
  </si>
  <si>
    <t>Marshall Islands Time</t>
  </si>
  <si>
    <t>Pacific/Kwajalein</t>
  </si>
  <si>
    <t>Marshall Islands</t>
  </si>
  <si>
    <t>MH</t>
  </si>
  <si>
    <t>MHT</t>
  </si>
  <si>
    <t>+12:00 Marshall Islands Time - Majuro, Kwajalein, RMI Capitol</t>
  </si>
  <si>
    <t>Kwajalein</t>
  </si>
  <si>
    <t>Nauru Time</t>
  </si>
  <si>
    <t>Pacific/Nauru</t>
  </si>
  <si>
    <t>Nauru</t>
  </si>
  <si>
    <t>NR</t>
  </si>
  <si>
    <t>NRT</t>
  </si>
  <si>
    <t>+12:00 Nauru Time - Yaren</t>
  </si>
  <si>
    <t>New Zealand Time</t>
  </si>
  <si>
    <t>Pacific/Auckland</t>
  </si>
  <si>
    <t>New Zealand</t>
  </si>
  <si>
    <t>NZ</t>
  </si>
  <si>
    <t>NZST</t>
  </si>
  <si>
    <t>+12:00 New Zealand Time - Auckland, Christchurch, Wellington, Manukau City</t>
  </si>
  <si>
    <t>Antarctica/McMurdo</t>
  </si>
  <si>
    <t>Antarctica/South_Pole</t>
  </si>
  <si>
    <t>+12:00 New Zealand Time - McMurdo</t>
  </si>
  <si>
    <t>Petropavlovsk-Kamchatski Time</t>
  </si>
  <si>
    <t>Asia/Anadyr</t>
  </si>
  <si>
    <t>PETT</t>
  </si>
  <si>
    <t>+12:00 Petropavlovsk-Kamchatski Time - Petropavlovsk-Kamchatsky, Yelizovo, Vilyuchinsk, Anadyr</t>
  </si>
  <si>
    <t>Asia/Kamchatka</t>
  </si>
  <si>
    <t>Tuvalu Time</t>
  </si>
  <si>
    <t>Tuvalu</t>
  </si>
  <si>
    <t>TV</t>
  </si>
  <si>
    <t>TVT</t>
  </si>
  <si>
    <t>+12:00 Tuvalu Time - Funafuti</t>
  </si>
  <si>
    <t>Wake Island Time</t>
  </si>
  <si>
    <t>WAKT</t>
  </si>
  <si>
    <t>+12:00 Wake Island Time - Wake</t>
  </si>
  <si>
    <t>Wallis &amp; Futuna Time</t>
  </si>
  <si>
    <t>Wallis and Futuna</t>
  </si>
  <si>
    <t>WF</t>
  </si>
  <si>
    <t>WFT</t>
  </si>
  <si>
    <t>+12:00 Wallis &amp; Futuna Time - Mata-Utu</t>
  </si>
  <si>
    <t>Chatham Time</t>
  </si>
  <si>
    <t>Pacific/Chatham</t>
  </si>
  <si>
    <t>CHAST</t>
  </si>
  <si>
    <t>+12:45 Chatham Time - Chatham</t>
  </si>
  <si>
    <t>NZ-CHAT</t>
  </si>
  <si>
    <t>Apia Time</t>
  </si>
  <si>
    <t>Pacific/Apia</t>
  </si>
  <si>
    <t>Samoa</t>
  </si>
  <si>
    <t>WS</t>
  </si>
  <si>
    <t>WST</t>
  </si>
  <si>
    <t>+13:00 Apia Time - Apia</t>
  </si>
  <si>
    <t>Phoenix Islands Time</t>
  </si>
  <si>
    <t>Pacific/Kanton</t>
  </si>
  <si>
    <t>PHOT</t>
  </si>
  <si>
    <t>+13:00 Phoenix Islands Time - Kanton</t>
  </si>
  <si>
    <t>Pacific/Enderbury</t>
  </si>
  <si>
    <t>Tokelau Time</t>
  </si>
  <si>
    <t>Pacific/Fakaofo</t>
  </si>
  <si>
    <t>Tokelau</t>
  </si>
  <si>
    <t>TK</t>
  </si>
  <si>
    <t>TKT</t>
  </si>
  <si>
    <t>+13:00 Tokelau Time - Fakaofo</t>
  </si>
  <si>
    <t>Tonga Time</t>
  </si>
  <si>
    <t>Pacific/Tongatapu</t>
  </si>
  <si>
    <t>Tonga</t>
  </si>
  <si>
    <t>TO</t>
  </si>
  <si>
    <t>TOT</t>
  </si>
  <si>
    <t>+13:00 Tonga Time - Nuku‘alofa</t>
  </si>
  <si>
    <t>Line Islands Time</t>
  </si>
  <si>
    <t>Pacific/Kiritimati</t>
  </si>
  <si>
    <t>LINT</t>
  </si>
  <si>
    <t>+14:00 Line Islands Time - Kiritimati</t>
  </si>
  <si>
    <t>https://www.hapag-lloyd.com/en/online-business/track/track-by-container-solution.html</t>
  </si>
  <si>
    <t>https://www.oocl.com/eng/Pages/default.aspx</t>
  </si>
  <si>
    <t>UTC</t>
  </si>
  <si>
    <t>name</t>
  </si>
  <si>
    <t>mainCities</t>
  </si>
  <si>
    <t>Alofi</t>
  </si>
  <si>
    <t>Midway</t>
  </si>
  <si>
    <t>Pago Pago</t>
  </si>
  <si>
    <t>Avarua</t>
  </si>
  <si>
    <t>Adak</t>
  </si>
  <si>
    <t>Honolulu,East Honolulu,Pearl City,Makakilo / Kapolei / Honokai Hale</t>
  </si>
  <si>
    <t>Faaa,Papeete,Punaauia</t>
  </si>
  <si>
    <t>Marquesas</t>
  </si>
  <si>
    <t>Anchorage,Juneau,Fairbanks,Eagle River</t>
  </si>
  <si>
    <t>Gambier</t>
  </si>
  <si>
    <t>Los Angeles,San Diego,San Jose,San Francisco</t>
  </si>
  <si>
    <t>Tijuana,Mexicali,Ensenada,Rosarito</t>
  </si>
  <si>
    <t>Vancouver,Surrey,Okanagan,Victoria</t>
  </si>
  <si>
    <t>Adamstown</t>
  </si>
  <si>
    <t>Hermosillo,Culiacán,Ciudad Obregón,Mazatlán</t>
  </si>
  <si>
    <t>Calgary,Edmonton,Red Deer,Sherwood Park</t>
  </si>
  <si>
    <t>Ciudad Juárez</t>
  </si>
  <si>
    <t>Denver,El Paso,Albuquerque,Colorado Springs</t>
  </si>
  <si>
    <t>Phoenix,Tucson,Mesa,Chandler</t>
  </si>
  <si>
    <t>Whitehorse,Fort St. John,Creston,Dawson</t>
  </si>
  <si>
    <t>Belize City,San Ignacio,San Pedro,Orange Walk</t>
  </si>
  <si>
    <t>Chicago,Houston,San Antonio,Dallas</t>
  </si>
  <si>
    <t>Guatemala City,Villa Nueva,Mixco,Cobán</t>
  </si>
  <si>
    <t>Managua,León,Masaya,Chinandega</t>
  </si>
  <si>
    <t>Mexico City,Iztapalapa,León de los Aldama,Puebla</t>
  </si>
  <si>
    <t>Reynosa,Heroica Matamoros,Nuevo Laredo,Piedras Negras</t>
  </si>
  <si>
    <t>San José,Limón,San Francisco,Alajuela</t>
  </si>
  <si>
    <t>San Salvador,Soyapango,San Miguel,Santa Ana</t>
  </si>
  <si>
    <t>Saskatoon,Regina,Prince Albert,Moose Jaw</t>
  </si>
  <si>
    <t>Tegucigalpa,San Pedro Sula,La Ceiba,Choloma</t>
  </si>
  <si>
    <t>Winnipeg,Brandon,Steinbach,Kenora</t>
  </si>
  <si>
    <t>Easter</t>
  </si>
  <si>
    <t>Galapagos</t>
  </si>
  <si>
    <t>Rio Branco,Cruzeiro do Sul,Senador Guiomard,Sena Madureira</t>
  </si>
  <si>
    <t>Bogotá,Cali,Medellín,Barranquilla</t>
  </si>
  <si>
    <t>Havana,Santiago de Cuba,Camagüey,Holguín</t>
  </si>
  <si>
    <t>Atikokan</t>
  </si>
  <si>
    <t>Cancún,Chetumal,Playa del Carmen,Cozumel</t>
  </si>
  <si>
    <t>Cockburn Town</t>
  </si>
  <si>
    <t>George Town,West Bay</t>
  </si>
  <si>
    <t>Kingston,New Kingston,Spanish Town,Portmore</t>
  </si>
  <si>
    <t>Nassau,Lucaya,Freeport,Killarney</t>
  </si>
  <si>
    <t>New York City,Brooklyn,Queens,Philadelphia</t>
  </si>
  <si>
    <t>Panamá,San Miguelito,Juan Díaz,David</t>
  </si>
  <si>
    <t>Port-au-Prince,Carrefour,Delmas,Port-de-Paix</t>
  </si>
  <si>
    <t>Toronto,Montréal,Ottawa,Mississauga</t>
  </si>
  <si>
    <t>Quito,Guayaquil,Cuenca,Santo Domingo de los Colorados</t>
  </si>
  <si>
    <t>Lima,Callao,Arequipa,Trujillo</t>
  </si>
  <si>
    <t>Manaus,Campo Grande,Cuiabá,Porto Velho</t>
  </si>
  <si>
    <t>Basseterre</t>
  </si>
  <si>
    <t>Blanc-Sablon</t>
  </si>
  <si>
    <t>Brades,Plymouth</t>
  </si>
  <si>
    <t>Bridgetown</t>
  </si>
  <si>
    <t>Chaguanas,Mon Repos,San Fernando,Port of Spain</t>
  </si>
  <si>
    <t>Fort-de-France,Le Lamentin,Le Robert,Sainte-Marie</t>
  </si>
  <si>
    <t>Gros Islet,Castries</t>
  </si>
  <si>
    <t>Gustavia</t>
  </si>
  <si>
    <t>Halifax,Moncton,Sydney,Dartmouth</t>
  </si>
  <si>
    <t>Hamilton</t>
  </si>
  <si>
    <t>Kingstown,Calliaqua</t>
  </si>
  <si>
    <t>Kralendijk</t>
  </si>
  <si>
    <t>Les Abymes,Baie-Mahault,Le Gosier,Petit-Bourg</t>
  </si>
  <si>
    <t>Marigot</t>
  </si>
  <si>
    <t>Oranjestad,Noord,Tanki Leendert,San Nicolas</t>
  </si>
  <si>
    <t>Philipsburg</t>
  </si>
  <si>
    <t>Road Town</t>
  </si>
  <si>
    <t>Roseau</t>
  </si>
  <si>
    <t>Saint Croix,Charlotte Amalie</t>
  </si>
  <si>
    <t>Saint George's</t>
  </si>
  <si>
    <t>Saint John’s</t>
  </si>
  <si>
    <t>San Juan,Bayamón,Carolina,Ponce</t>
  </si>
  <si>
    <t>Santo Domingo,Santiago de los Caballeros,Santo Domingo Oeste,Santo Domingo Este</t>
  </si>
  <si>
    <t>The Valley</t>
  </si>
  <si>
    <t>Thule</t>
  </si>
  <si>
    <t>Willemstad</t>
  </si>
  <si>
    <t>La Paz,Santa Cruz de la Sierra,Cochabamba,Sucre</t>
  </si>
  <si>
    <t>Santiago,Puente Alto,Antofagasta,Viña del Mar</t>
  </si>
  <si>
    <t>Georgetown,Linden,New Amsterdam</t>
  </si>
  <si>
    <t>Caracas,Maracaibo,Maracay,Valencia</t>
  </si>
  <si>
    <t>St. John's,Mount Pearl,Corner Brook,Conception Bay South</t>
  </si>
  <si>
    <t>Buenos Aires,Córdoba,Rosario,Mar del Plata</t>
  </si>
  <si>
    <t>São Paulo,Rio de Janeiro,Belo Horizonte,Salvador</t>
  </si>
  <si>
    <t>Palmer,Rothera</t>
  </si>
  <si>
    <t>Punta Arenas,Puerto Natales</t>
  </si>
  <si>
    <t>Stanley</t>
  </si>
  <si>
    <t>Cayenne,Matoury,Saint-Laurent-du-Maroni,Kourou</t>
  </si>
  <si>
    <t>Asunción,Ciudad del Este,San Lorenzo,Capiatá</t>
  </si>
  <si>
    <t>Saint-Pierre</t>
  </si>
  <si>
    <t>Paramaribo,Lelydorp</t>
  </si>
  <si>
    <t>Montevideo,Salto,Paysandú,Las Piedras</t>
  </si>
  <si>
    <t>Nuuk,Scoresbysund</t>
  </si>
  <si>
    <t>Noronha</t>
  </si>
  <si>
    <t>Grytviken</t>
  </si>
  <si>
    <t>Ponta Delgada</t>
  </si>
  <si>
    <t>Praia,Mindelo,Espargos,Assomada</t>
  </si>
  <si>
    <t>Abidjan,Abobo,Bouaké,Korhogo</t>
  </si>
  <si>
    <t>Bamako,Sikasso,Koutiala,Ségou</t>
  </si>
  <si>
    <t>Bissau,Gabú,Bafatá</t>
  </si>
  <si>
    <t>Conakry,Camayenne,Nzérékoré,Kankan</t>
  </si>
  <si>
    <t>Dakar,Pikine,Touba,Guédiawaye</t>
  </si>
  <si>
    <t>Danmarkshavn</t>
  </si>
  <si>
    <t>Douglas</t>
  </si>
  <si>
    <t>Dublin,South Dublin,Cork,Limerick</t>
  </si>
  <si>
    <t>Freetown,Bo,Kenema,Koidu</t>
  </si>
  <si>
    <t>Jamestown</t>
  </si>
  <si>
    <t>Kumasi,Accra,Tamale,Takoradi</t>
  </si>
  <si>
    <t>Lomé,Sokodé,Kara,Atakpamé</t>
  </si>
  <si>
    <t>London,Birmingham,Liverpool,Glasgow</t>
  </si>
  <si>
    <t>Monrovia,Gbarnga,Buchanan,Ganta</t>
  </si>
  <si>
    <t>Nouakchott,Nouadhibou,Kiffa,Dar Naim</t>
  </si>
  <si>
    <t>Ouagadougou,Bobo-Dioulasso,Koudougou,Saaba</t>
  </si>
  <si>
    <t>Reykjavík,Kópavogur,Hafnarfjörður,Reykjanesbær</t>
  </si>
  <si>
    <t>Saint Helier</t>
  </si>
  <si>
    <t>Saint Peter Port</t>
  </si>
  <si>
    <t>Serekunda,Brikama,Bununka Kunda,Sukuta</t>
  </si>
  <si>
    <t>São Tomé</t>
  </si>
  <si>
    <t>Troll</t>
  </si>
  <si>
    <t>Casablanca,Rabat,Fes,Tangier</t>
  </si>
  <si>
    <t>Laayoune,Dakhla,Boujdour</t>
  </si>
  <si>
    <t>Las Palmas de Gran Canaria,Santa Cruz de Tenerife,La Laguna,Telde</t>
  </si>
  <si>
    <t>Lisbon,Porto,Amadora,Braga</t>
  </si>
  <si>
    <t>Tórshavn</t>
  </si>
  <si>
    <t>Windhoek,Rundu,Walvis Bay,Swakopmund</t>
  </si>
  <si>
    <t>Algiers,Oran,Constantine,Annaba</t>
  </si>
  <si>
    <t>Amsterdam,Rotterdam,The Hague,Utrecht</t>
  </si>
  <si>
    <t>Andorra la Vella,les Escaldes</t>
  </si>
  <si>
    <t>Belgrade,Niš,Novi Sad,Zemun</t>
  </si>
  <si>
    <t>Berlin,Hamburg,Munich,Köln</t>
  </si>
  <si>
    <t>Bratislava,Košice,Nitra,Prešov</t>
  </si>
  <si>
    <t>Brussels,Antwerpen,Gent,Charleroi</t>
  </si>
  <si>
    <t>Budapest,Debrecen,Szeged,Miskolc</t>
  </si>
  <si>
    <t>Copenhagen,Århus,Odense,Aalborg</t>
  </si>
  <si>
    <t>Ljubljana,Maribor,Kranj,Celje</t>
  </si>
  <si>
    <t>Longyearbyen</t>
  </si>
  <si>
    <t>Luxembourg,Esch-sur-Alzette,Dudelange</t>
  </si>
  <si>
    <t>Madrid,Barcelona,Valencia,Sevilla</t>
  </si>
  <si>
    <t>Monaco,Monte-Carlo</t>
  </si>
  <si>
    <t>Oslo,Bergen,Trondheim,Stavanger</t>
  </si>
  <si>
    <t>Paris,Marseille,Lyon,Toulouse</t>
  </si>
  <si>
    <t>Podgorica,Nikšić,Herceg Novi,Pljevlja</t>
  </si>
  <si>
    <t>Prague,Brno,Ostrava,Pilsen</t>
  </si>
  <si>
    <t>Rome,Milan,Naples,Turin</t>
  </si>
  <si>
    <t>San Pawl il-Baħar,Birkirkara,Mosta,Sliema</t>
  </si>
  <si>
    <t>Sarajevo,Banja Luka,Zenica,Tuzla</t>
  </si>
  <si>
    <t>Skopje,Kumanovo,Prilep,Bitola</t>
  </si>
  <si>
    <t>Stockholm,Göteborg,Malmö,Uppsala</t>
  </si>
  <si>
    <t>Tirana,Durrës,Elbasan,Vlorë</t>
  </si>
  <si>
    <t>Tunis,Sfax,Sousse,Kairouan</t>
  </si>
  <si>
    <t>Vaduz</t>
  </si>
  <si>
    <t>Vatican City</t>
  </si>
  <si>
    <t>Vienna,Graz,Linz,Favoriten</t>
  </si>
  <si>
    <t>Warsaw,Łódź,Kraków,Wrocław</t>
  </si>
  <si>
    <t>Zagreb,Split,Rijeka,Osijek</t>
  </si>
  <si>
    <t>Zürich,Genève,Basel,Lausanne</t>
  </si>
  <si>
    <t>Bangui,Bimbo,Bégoua,Carnot</t>
  </si>
  <si>
    <t>Bata,Malabo,Ebebiyin</t>
  </si>
  <si>
    <t>Brazzaville,Pointe-Noire,Dolisie,Nkayi</t>
  </si>
  <si>
    <t>Cotonou,Abomey-Calavi,Porto-Novo,Parakou</t>
  </si>
  <si>
    <t>Douala,Yaoundé,Bamenda,Bafoussam</t>
  </si>
  <si>
    <t>Kinshasa,Kikwit,Masina,Mbandaka</t>
  </si>
  <si>
    <t>Lagos,Kano,Ibadan,Abuja</t>
  </si>
  <si>
    <t>Libreville,Port-Gentil,Franceville,Owendo</t>
  </si>
  <si>
    <t>Luanda,Lubango,Huambo,Benguela</t>
  </si>
  <si>
    <t>N'Djamena,Moundou,Abéché,Sarh</t>
  </si>
  <si>
    <t>Niamey,Maradi,Zinder,Tahoua</t>
  </si>
  <si>
    <t>Bujumbura,Gitega,Ngozi,Rumonge</t>
  </si>
  <si>
    <t>Gaborone,Francistown,Mogoditshane,Maun</t>
  </si>
  <si>
    <t>Harare,Bulawayo,Chitungwiza,Mutare</t>
  </si>
  <si>
    <t>Juba,Winejok,Yei,Malakal</t>
  </si>
  <si>
    <t>Khartoum,Omdurman,Khartoum North,Nyala</t>
  </si>
  <si>
    <t>Kigali,Gisenyi,Butare,Gitarama</t>
  </si>
  <si>
    <t>Lilongwe,Blantyre,Mzuzu,Zomba</t>
  </si>
  <si>
    <t>Lubumbashi,Mbuji-Mayi,Kananga,Kisangani</t>
  </si>
  <si>
    <t>Lusaka,Kitwe,Ndola,Chipata</t>
  </si>
  <si>
    <t>Maputo,Matola,Nampula,Beira</t>
  </si>
  <si>
    <t>Athens,Thessaloníki,Pátra,Piraeus</t>
  </si>
  <si>
    <t>Beirut,Ra’s Bayrūt,Tripoli,Sidon</t>
  </si>
  <si>
    <t>Bucharest,Sector 3,Iaşi,Sector 6</t>
  </si>
  <si>
    <t>Cairo,Alexandria,Giza,Shubrā al Khaymah</t>
  </si>
  <si>
    <t>Chisinau,Tiraspol,Bălţi,Bender</t>
  </si>
  <si>
    <t>East Jerusalem,Gaza,Khān Yūnis,Jabālyā</t>
  </si>
  <si>
    <t>Helsinki,Espoo,Tampere,Oulu</t>
  </si>
  <si>
    <t>Kaliningrad,Chernyakhovsk,Sovetsk,Baltiysk</t>
  </si>
  <si>
    <t>Kyiv,Kharkiv,Odesa,Dnipro</t>
  </si>
  <si>
    <t>Mariehamn</t>
  </si>
  <si>
    <t>Nicosia,Limassol,Larnaca,Stróvolos</t>
  </si>
  <si>
    <t>Riga,Daugavpils,Liepāja,Jelgava</t>
  </si>
  <si>
    <t>Sofia,Plovdiv,Varna,Burgas</t>
  </si>
  <si>
    <t>Tallinn,Tartu,Narva,Pärnu</t>
  </si>
  <si>
    <t>Tripoli,Benghazi,Misratah,Zliten</t>
  </si>
  <si>
    <t>Vilnius,Kaunas,Klaipėda,Šiauliai</t>
  </si>
  <si>
    <t>Jerusalem,Tel Aviv,West Jerusalem,Haifa</t>
  </si>
  <si>
    <t>Johannesburg,Cape Town,Durban,Pretoria</t>
  </si>
  <si>
    <t>Manzini,Mbabane,Lobamba</t>
  </si>
  <si>
    <t>Maseru,Maputsoe,Mohale's Hoek,Mafeteng</t>
  </si>
  <si>
    <t>Al Aḩmadī,Ḩawallī,As Sālimīyah,Şabāḩ as Sālim</t>
  </si>
  <si>
    <t>Ar Rifā‘,Manama,Al Muharraq,Dār Kulayb</t>
  </si>
  <si>
    <t>Baghdad,Al Mawşil al Jadīdah,Al Başrah al Qadīmah,Mosul</t>
  </si>
  <si>
    <t>Doha,Ar Rayyān,Al Maţār al ‘Atīq,Al Manşūrah</t>
  </si>
  <si>
    <t>Jeddah,Riyadh,Makkah,Madinah</t>
  </si>
  <si>
    <t>Sanaa,Aden,Al Ḩudaydah,Taiz</t>
  </si>
  <si>
    <t>Amman,Zarqa,Irbid,Russeifa</t>
  </si>
  <si>
    <t>Aleppo,Damascus,Homs,Latakia</t>
  </si>
  <si>
    <t>Addis Ababa,Jijiga,Gonder,Mek'ele</t>
  </si>
  <si>
    <t>Antananarivo,Toamasina,Antsirabe,Mahajanga</t>
  </si>
  <si>
    <t>Asmara,Keren,Himora,Massawa</t>
  </si>
  <si>
    <t>Dar es Salaam,Mwanza,Dodoma,Zanzibar</t>
  </si>
  <si>
    <t>Djibouti,Ali Sabih,Dikhil,Tadjoura</t>
  </si>
  <si>
    <t>Kampala,Nansana,Kira,Bunamwaya</t>
  </si>
  <si>
    <t>Mamoudzou,Koungou,Labattoir,Kaouéni</t>
  </si>
  <si>
    <t>Mogadishu,Borama,Hargeysa,Berbera</t>
  </si>
  <si>
    <t>Moroni,Moutsamoudou,Fomboni</t>
  </si>
  <si>
    <t>Nairobi,Kakamega,Mombasa,Nakuru</t>
  </si>
  <si>
    <t>Minsk,Homyel',Hrodna,Vitebsk</t>
  </si>
  <si>
    <t>Moscow,Saint Petersburg,Nizhniy Novgorod,Kazan</t>
  </si>
  <si>
    <t>Sevastopol,Simferopol,Kerch,Yevpatoriya</t>
  </si>
  <si>
    <t>Syowa</t>
  </si>
  <si>
    <t>Istanbul,Ankara,Bursa,İzmir</t>
  </si>
  <si>
    <t>Tehran,Mashhad,Isfahan,Karaj</t>
  </si>
  <si>
    <t>Yerevan,Malatia-Sebastia,Shengavit,Nor Nork</t>
  </si>
  <si>
    <t>Baku,Sumqayıt,Ganja,Lankaran</t>
  </si>
  <si>
    <t>Tbilisi,Batumi,Kutaisi,Rustavi</t>
  </si>
  <si>
    <t>Dubai,Abu Dhabi,Sharjah,Al Ain City</t>
  </si>
  <si>
    <t>Muscat,Seeb,Bawshar,‘Ibrī</t>
  </si>
  <si>
    <t>Port Louis,Vacoas,Beau Bassin-Rose Hill,Curepipe</t>
  </si>
  <si>
    <t>Saint-Denis,Saint-Paul,Saint-Pierre,Le Tampon</t>
  </si>
  <si>
    <t>Samara,Saratov,Tolyatti,Izhevsk</t>
  </si>
  <si>
    <t>Victoria</t>
  </si>
  <si>
    <t>Kabul,Herāt,Mazār-e Sharīf,Kandahār</t>
  </si>
  <si>
    <t>Port-aux-Français</t>
  </si>
  <si>
    <t>Male</t>
  </si>
  <si>
    <t>Mawson,Vostok</t>
  </si>
  <si>
    <t>Lahore,Karachi,Peshawar,Faisalabad</t>
  </si>
  <si>
    <t>Dushanbe,Isfara,Istaravshan,Kŭlob</t>
  </si>
  <si>
    <t>Ashgabat,Türkmenabat,Daşoguz,Mary</t>
  </si>
  <si>
    <t>Tashkent,Namangan,Samarkand,Andijon</t>
  </si>
  <si>
    <t>Almaty,Shymkent,Aktobe,Karagandy</t>
  </si>
  <si>
    <t>Yekaterinburg,Chelyabinsk,Ufa,Perm</t>
  </si>
  <si>
    <t>Colombo,Dehiwala-Mount Lavinia,Maharagama,Jaffna</t>
  </si>
  <si>
    <t>Mumbai,Delhi,Bengaluru,Hyderābād</t>
  </si>
  <si>
    <t>Kathmandu,Bharatpur,Pātan,Birgañj</t>
  </si>
  <si>
    <t>Dhaka,Chattogram,Gazipur,Khulna</t>
  </si>
  <si>
    <t>Thimphu,Phuntsholing,Tsirang,Punākha</t>
  </si>
  <si>
    <t>Ürümqi,Shihezi,Korla,Aqsu</t>
  </si>
  <si>
    <t>Chagos</t>
  </si>
  <si>
    <t>Bishkek,Osh,Jalal-Abad,Karakol</t>
  </si>
  <si>
    <t>Omsk,Tara,Kalachinsk,Isil’kul’</t>
  </si>
  <si>
    <t>West Island</t>
  </si>
  <si>
    <t>Yangon,Mandalay,Nay Pyi Taw,Mawlamyine</t>
  </si>
  <si>
    <t>Flying Fish Cove</t>
  </si>
  <si>
    <t>Davis</t>
  </si>
  <si>
    <t>Ulaangom,Khovd,Ölgii,Altai</t>
  </si>
  <si>
    <t>Bangkok,Samut Prakan,Mueang Nonthaburi,Chon Buri</t>
  </si>
  <si>
    <t>Ho Chi Minh City,Da Nang,Biên Hòa,Cần Thơ</t>
  </si>
  <si>
    <t>Phnom Penh,Takeo,Siem Reap,Battambang</t>
  </si>
  <si>
    <t>Vientiane,Savannakhet,Pakse,Thakhèk</t>
  </si>
  <si>
    <t>Novosibirsk,Krasnoyarsk,Barnaul,Tomsk</t>
  </si>
  <si>
    <t>Jakarta,Surabaya,Bekasi,Bandung</t>
  </si>
  <si>
    <t>Casey</t>
  </si>
  <si>
    <t>Perth,Mandurah,Bunbury,Baldivis</t>
  </si>
  <si>
    <t>Bandar Seri Begawan,Sengkurong,Mentiri,Kuala Belait</t>
  </si>
  <si>
    <t>Makassar,Samarinda,Denpasar,Balikpapan</t>
  </si>
  <si>
    <t>Macau,Taipa,Luhuan,Lai Chi Van</t>
  </si>
  <si>
    <t>Shanghai,Beijing,Shenzhen,Guangzhou</t>
  </si>
  <si>
    <t>Hong Kong,New Territories,Kowloon,Hong Kong Island</t>
  </si>
  <si>
    <t>Irkutsk,Ulan-Ude,Bratsk,Angarsk</t>
  </si>
  <si>
    <t>Kuala Lumpur,Petaling Jaya,Klang,Johor Bahru</t>
  </si>
  <si>
    <t>Quezon City,Davao,Manila,Caloocan City</t>
  </si>
  <si>
    <t>Singapore,Ulu Bedok,Bedok New Town,Tampines Estate</t>
  </si>
  <si>
    <t>Taipei,New Taipei City,Kaohsiung,Taichung</t>
  </si>
  <si>
    <t>Ulan Bator,Erdenet,Darhan,Mörön</t>
  </si>
  <si>
    <t>Eucla</t>
  </si>
  <si>
    <t>Dili,Maliana,Suai,Likisá</t>
  </si>
  <si>
    <t>Jayapura,Ambon,Sorong,Ternate</t>
  </si>
  <si>
    <t>Tokyo,Yokohama,Osaka,Nagoya</t>
  </si>
  <si>
    <t>Pyongyang,Hamhŭng,Namp’o,Sunch’ŏn</t>
  </si>
  <si>
    <t>Seoul,Busan,Incheon,Daegu</t>
  </si>
  <si>
    <t>Ngerulmud</t>
  </si>
  <si>
    <t>Chita,Yakutsk,Blagoveshchensk,Belogorsk</t>
  </si>
  <si>
    <t>Adelaide,Adelaide Hills,Mount Gambier,Morphett Vale</t>
  </si>
  <si>
    <t>Darwin,Alice Springs,Palmerston</t>
  </si>
  <si>
    <t>Brisbane,Gold Coast,Logan City,Townsville</t>
  </si>
  <si>
    <t>Sydney,Melbourne,Canberra,Newcastle</t>
  </si>
  <si>
    <t>Dededo Village,Yigo Village,Tamuning-Tumon-Harmon Village,Tamuning</t>
  </si>
  <si>
    <t>Saipan</t>
  </si>
  <si>
    <t>Chuuk</t>
  </si>
  <si>
    <t>DumontDUrville</t>
  </si>
  <si>
    <t>Port Moresby,Lae,Mount Hagen,Popondetta</t>
  </si>
  <si>
    <t>Khabarovsk,Vladivostok,Khabarovsk Vtoroy,Komsomolsk-on-Amur</t>
  </si>
  <si>
    <t>Lord Howe</t>
  </si>
  <si>
    <t>Arawa</t>
  </si>
  <si>
    <t>Kosrae,Palikir - National Government Center</t>
  </si>
  <si>
    <t>Nouméa,Mont-Dore,Dumbéa</t>
  </si>
  <si>
    <t>Kingston</t>
  </si>
  <si>
    <t>Yuzhno-Sakhalinsk,Magadan,Korsakov,Kholmsk</t>
  </si>
  <si>
    <t>Honiara</t>
  </si>
  <si>
    <t>Port-Vila</t>
  </si>
  <si>
    <t>Nasinu,Suva,Lautoka,Nadi</t>
  </si>
  <si>
    <t>Tarawa</t>
  </si>
  <si>
    <t>Majuro,Kwajalein,RMI Capitol</t>
  </si>
  <si>
    <t>Yaren</t>
  </si>
  <si>
    <t>Auckland,Christchurch,Wellington,Manukau City</t>
  </si>
  <si>
    <t>McMurdo</t>
  </si>
  <si>
    <t>Petropavlovsk-Kamchatsky,Yelizovo,Vilyuchinsk,Anadyr</t>
  </si>
  <si>
    <t>Funafuti</t>
  </si>
  <si>
    <t>Wake</t>
  </si>
  <si>
    <t>Mata-Utu</t>
  </si>
  <si>
    <t>Chatham</t>
  </si>
  <si>
    <t>Apia</t>
  </si>
  <si>
    <t>Kanton</t>
  </si>
  <si>
    <t>Fakaofo</t>
  </si>
  <si>
    <t>Nuku‘alofa</t>
  </si>
  <si>
    <t>Kiritimati</t>
  </si>
  <si>
    <t>Zone</t>
  </si>
  <si>
    <t>Time</t>
  </si>
  <si>
    <t>Date</t>
  </si>
  <si>
    <t>City</t>
  </si>
  <si>
    <t>Country</t>
  </si>
  <si>
    <t>Back to Contents</t>
  </si>
  <si>
    <t>Remark</t>
  </si>
  <si>
    <t>DISCLAIMER</t>
  </si>
  <si>
    <r>
      <t>1. No Warranty</t>
    </r>
    <r>
      <rPr>
        <sz val="10"/>
        <color rgb="FF404040"/>
        <rFont val="Segoe UI"/>
        <family val="2"/>
      </rPr>
      <t>: The Tool is provided “as is” without any warranties, express or implied, including but not limited to warranties of accuracy, reliability, fitness for a particular purpose, or non-infringement. The creator disclaims all liability for errors, omissions, or outcomes resulting from its use.</t>
    </r>
  </si>
  <si>
    <r>
      <t>2. No Liability</t>
    </r>
    <r>
      <rPr>
        <sz val="10"/>
        <color rgb="FF404040"/>
        <rFont val="Segoe UI"/>
        <family val="2"/>
      </rPr>
      <t>: In no event shall the creator, developer, or distributor of this Tool be liable for any direct, indirect, incidental, special, or consequential damages (including lost profits, data, or business interruption) arising from the use, misuse, or inability to use this Tool, even if advised of the possibility of such damages.</t>
    </r>
  </si>
  <si>
    <r>
      <t>3. User Responsibility</t>
    </r>
    <r>
      <rPr>
        <sz val="10"/>
        <color rgb="FF404040"/>
        <rFont val="Segoe UI"/>
        <family val="2"/>
      </rPr>
      <t>: You assume all risks associated with the use of this Tool. You are solely responsible for verifying the accuracy, completeness, and suitability of the Tool’s outputs for your intended purpose. Always seek professional advice (e.g., legal, financial, technical) before relying on its results.</t>
    </r>
  </si>
  <si>
    <r>
      <t>4. No Endorsement</t>
    </r>
    <r>
      <rPr>
        <sz val="10"/>
        <color rgb="FF404040"/>
        <rFont val="Segoe UI"/>
        <family val="2"/>
      </rPr>
      <t>: This Tool is not affiliated with, endorsed by, or sponsored by Microsoft Excel or any third-party entities unless explicitly stated.</t>
    </r>
  </si>
  <si>
    <r>
      <t>5. Jurisdiction</t>
    </r>
    <r>
      <rPr>
        <sz val="10"/>
        <color rgb="FF404040"/>
        <rFont val="Segoe UI"/>
        <family val="2"/>
      </rPr>
      <t>: This disclaimer is governed by the laws of [Your Country/State], and any disputes shall be resolved in its courts.</t>
    </r>
  </si>
  <si>
    <r>
      <t>6. Modifications</t>
    </r>
    <r>
      <rPr>
        <sz val="10"/>
        <color rgb="FF404040"/>
        <rFont val="Segoe UI"/>
        <family val="2"/>
      </rPr>
      <t>: The creator reserves the right to modify or discontinue the Tool at any time without notice.</t>
    </r>
  </si>
  <si>
    <r>
      <t>Contact</t>
    </r>
    <r>
      <rPr>
        <sz val="10"/>
        <color rgb="FF404040"/>
        <rFont val="Segoe UI"/>
        <family val="2"/>
      </rPr>
      <t>: For questions or concerns, contact beastwars123@hotmail.com.</t>
    </r>
  </si>
  <si>
    <t>This Excel file is provided free of charge and for general informational purposes only. By using this Tool, you agree to the following terms:</t>
  </si>
  <si>
    <t>Yes</t>
  </si>
  <si>
    <t>XYZ</t>
  </si>
  <si>
    <t>40'HQ</t>
  </si>
  <si>
    <t>20'DC</t>
  </si>
  <si>
    <t>40'DC</t>
  </si>
  <si>
    <t>45'DC</t>
  </si>
  <si>
    <t>40'RF</t>
  </si>
  <si>
    <t>CTNR</t>
  </si>
  <si>
    <t>Payload_Kg</t>
  </si>
  <si>
    <t>Stackable</t>
  </si>
  <si>
    <t>L_cm</t>
  </si>
  <si>
    <t>W_cm</t>
  </si>
  <si>
    <t>H_cm</t>
  </si>
  <si>
    <t>No</t>
  </si>
  <si>
    <t>3, Add cargo specification.</t>
  </si>
  <si>
    <t>Length</t>
  </si>
  <si>
    <t>Width</t>
  </si>
  <si>
    <t>Height</t>
  </si>
  <si>
    <t>Weight</t>
  </si>
  <si>
    <t>Quantity</t>
  </si>
  <si>
    <t>Rotatable</t>
  </si>
  <si>
    <t>RotationAxes</t>
  </si>
  <si>
    <t>Payload</t>
  </si>
  <si>
    <t>From</t>
  </si>
  <si>
    <t>To</t>
  </si>
  <si>
    <t>FromUnit</t>
  </si>
  <si>
    <t>Factor</t>
  </si>
  <si>
    <t>ToUnit</t>
  </si>
  <si>
    <t>m</t>
  </si>
  <si>
    <t>mm</t>
  </si>
  <si>
    <t>cm</t>
  </si>
  <si>
    <t>kg</t>
  </si>
  <si>
    <t>lb</t>
  </si>
  <si>
    <t>L</t>
  </si>
  <si>
    <t>m³</t>
  </si>
  <si>
    <t>Offset</t>
  </si>
  <si>
    <t>FormulaType</t>
  </si>
  <si>
    <t>LinearWithOffset</t>
  </si>
  <si>
    <t>Linear</t>
  </si>
  <si>
    <t>ft</t>
  </si>
  <si>
    <t>km</t>
  </si>
  <si>
    <t>mi</t>
  </si>
  <si>
    <t>in</t>
  </si>
  <si>
    <t>yd</t>
  </si>
  <si>
    <t>km³</t>
  </si>
  <si>
    <t>cm³</t>
  </si>
  <si>
    <t>Quantities</t>
  </si>
  <si>
    <t>Mass</t>
  </si>
  <si>
    <t>Volume</t>
  </si>
  <si>
    <t>Temperature</t>
  </si>
  <si>
    <t>slug</t>
  </si>
  <si>
    <t>gm</t>
  </si>
  <si>
    <t>slug/ft³</t>
  </si>
  <si>
    <t>lb m/ft³</t>
  </si>
  <si>
    <t>Density</t>
  </si>
  <si>
    <t>lb m/in³</t>
  </si>
  <si>
    <t>kg/m³</t>
  </si>
  <si>
    <t>g/cm³</t>
  </si>
  <si>
    <t>ft/sec</t>
  </si>
  <si>
    <t>km/hr</t>
  </si>
  <si>
    <t>Speed</t>
  </si>
  <si>
    <t>m/sec</t>
  </si>
  <si>
    <t>mi/hr</t>
  </si>
  <si>
    <t>knot</t>
  </si>
  <si>
    <t>dyne</t>
  </si>
  <si>
    <t>gf</t>
  </si>
  <si>
    <t>Force</t>
  </si>
  <si>
    <t>kgf</t>
  </si>
  <si>
    <t>nt</t>
  </si>
  <si>
    <t>lb f</t>
  </si>
  <si>
    <t>newton</t>
  </si>
  <si>
    <t>atmosphere</t>
  </si>
  <si>
    <t>dyne/cm²</t>
  </si>
  <si>
    <t>Pressure</t>
  </si>
  <si>
    <t>inch of water</t>
  </si>
  <si>
    <t>in Hg</t>
  </si>
  <si>
    <t>kgf/m²</t>
  </si>
  <si>
    <t>nt/m²</t>
  </si>
  <si>
    <t>lb f/in²</t>
  </si>
  <si>
    <t>lb f/ft²</t>
  </si>
  <si>
    <t>atm</t>
  </si>
  <si>
    <t>BTU</t>
  </si>
  <si>
    <t>erg</t>
  </si>
  <si>
    <t>Energy</t>
  </si>
  <si>
    <t>ft-lb f</t>
  </si>
  <si>
    <t>hp-hr</t>
  </si>
  <si>
    <t>joule</t>
  </si>
  <si>
    <t>kcal</t>
  </si>
  <si>
    <t>kwh</t>
  </si>
  <si>
    <t>BTU/hr</t>
  </si>
  <si>
    <t>ft.lb f/min</t>
  </si>
  <si>
    <t>Power</t>
  </si>
  <si>
    <t>ft.lb f/sec</t>
  </si>
  <si>
    <t>hp</t>
  </si>
  <si>
    <t>kcal/sec</t>
  </si>
  <si>
    <t>kw</t>
  </si>
  <si>
    <t>w</t>
  </si>
  <si>
    <t>horsepower</t>
  </si>
  <si>
    <t>kilowatt</t>
  </si>
  <si>
    <t>watt</t>
  </si>
  <si>
    <t>degree Celsius</t>
  </si>
  <si>
    <t>degree Fahrenheit</t>
  </si>
  <si>
    <t>Kelvin</t>
  </si>
  <si>
    <t>mm²</t>
  </si>
  <si>
    <t>cm²</t>
  </si>
  <si>
    <t>Area</t>
  </si>
  <si>
    <t>m²</t>
  </si>
  <si>
    <t>in²</t>
  </si>
  <si>
    <t>ft²</t>
  </si>
  <si>
    <t>in³</t>
  </si>
  <si>
    <t>ft³</t>
  </si>
  <si>
    <t>US gal</t>
  </si>
  <si>
    <t>kg/h</t>
  </si>
  <si>
    <t>lb/h</t>
  </si>
  <si>
    <t>Mass Flow</t>
  </si>
  <si>
    <t>kg/s</t>
  </si>
  <si>
    <t>t/h</t>
  </si>
  <si>
    <t>Nm</t>
  </si>
  <si>
    <t>kgfm</t>
  </si>
  <si>
    <t>Torque</t>
  </si>
  <si>
    <t>ft·lb</t>
  </si>
  <si>
    <t>in·lb</t>
  </si>
  <si>
    <t>cp</t>
  </si>
  <si>
    <t>poise</t>
  </si>
  <si>
    <t>Dynamic Viscosity</t>
  </si>
  <si>
    <t>lb/(ft·s)</t>
  </si>
  <si>
    <t>cs</t>
  </si>
  <si>
    <t>St</t>
  </si>
  <si>
    <t>Kinematic Viscosity</t>
  </si>
  <si>
    <t>ft²/s</t>
  </si>
  <si>
    <t>m²/s</t>
  </si>
  <si>
    <t>1, Choose type of quantity and select the unit.</t>
  </si>
  <si>
    <t>Unit</t>
  </si>
  <si>
    <t>Backup, move below conversions to the table right if needed.</t>
  </si>
  <si>
    <t>Color</t>
  </si>
  <si>
    <t>1, Choose type of container need to use.</t>
  </si>
  <si>
    <t>lb→kg</t>
  </si>
  <si>
    <t>CargoName</t>
  </si>
  <si>
    <t>2, Choose unit system.</t>
  </si>
  <si>
    <t>UnitSys</t>
  </si>
  <si>
    <t>Metric</t>
  </si>
  <si>
    <t>Shape</t>
  </si>
  <si>
    <t>Fragility</t>
  </si>
  <si>
    <t>SpecialHandling</t>
  </si>
  <si>
    <t>Grouping</t>
  </si>
  <si>
    <t>VolumeDensity</t>
  </si>
  <si>
    <t>Precedence</t>
  </si>
  <si>
    <t>CenterOfGravityX</t>
  </si>
  <si>
    <t>CenterOfGravityY</t>
  </si>
  <si>
    <t>CenterOfGravityZ</t>
  </si>
  <si>
    <t>集装箱类型</t>
  </si>
  <si>
    <t>已用数量</t>
  </si>
  <si>
    <t>剩余空间(L)</t>
  </si>
  <si>
    <t>剩余空间(W)</t>
  </si>
  <si>
    <t>剩余空间(H)</t>
  </si>
  <si>
    <t>载重使用率</t>
  </si>
  <si>
    <t>装箱策略</t>
  </si>
  <si>
    <t>货物列表</t>
  </si>
  <si>
    <t>待计算</t>
  </si>
  <si>
    <t>MaxStackLayers</t>
  </si>
  <si>
    <t>WeightCapacity</t>
  </si>
  <si>
    <t>CanInvert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</si>
</sst>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General;\-General"/>
    <numFmt numFmtId="166" formatCode="0.00\ &quot;cm&quot;"/>
    <numFmt numFmtId="167" formatCode="0.00\ &quot;kg&quot;"/>
  </numFmts>
  <fonts count="11">
    <font>
      <sz val="11"/>
      <color theme="1"/>
      <name val="Calibri"/>
      <family val="2"/>
      <scheme val="minor"/>
    </font>
    <font>
      <sz val="9"/>
      <name val="Calibri"/>
      <family val="3"/>
      <charset val="134"/>
      <scheme val="minor"/>
    </font>
    <font>
      <sz val="11"/>
      <color rgb="FF3F3F76"/>
      <name val="Calibri"/>
      <family val="2"/>
      <scheme val="minor"/>
    </font>
    <font>
      <b/>
      <sz val="11"/>
      <color theme="0"/>
      <name val="Calibri"/>
      <family val="2"/>
      <scheme val="minor"/>
    </font>
    <font>
      <u/>
      <sz val="11"/>
      <color theme="10"/>
      <name val="Calibri"/>
      <family val="2"/>
      <scheme val="minor"/>
    </font>
    <font>
      <sz val="10"/>
      <color rgb="FF404040"/>
      <name val="Segoe UI"/>
      <family val="2"/>
    </font>
    <font>
      <b/>
      <sz val="10"/>
      <color rgb="FF404040"/>
      <name val="Segoe UI"/>
      <family val="2"/>
    </font>
    <font>
      <sz val="11"/>
      <color theme="1"/>
      <name val="Calibri"/>
      <family val="2"/>
      <scheme val="minor"/>
    </font>
    <font>
      <sz val="11"/>
      <color theme="0"/>
      <name val="Calibri"/>
      <family val="2"/>
      <scheme val="minor"/>
    </font>
    <font>
      <sz val="8"/>
      <name val="Calibri"/>
      <family val="2"/>
      <scheme val="minor"/>
    </font>
    <font>
      <sz val="9"/>
      <color indexed="81"/>
      <name val="Tahoma"/>
      <family val="2"/>
    </font>
  </fonts>
  <fills count="11">
    <fill>
      <patternFill patternType="none"/>
    </fill>
    <fill>
      <patternFill patternType="gray125"/>
    </fill>
    <fill>
      <patternFill patternType="solid">
        <fgColor rgb="FFFFCC99"/>
      </patternFill>
    </fill>
    <fill>
      <patternFill patternType="solid">
        <fgColor theme="9"/>
        <bgColor theme="9"/>
      </patternFill>
    </fill>
    <fill>
      <patternFill patternType="solid">
        <fgColor rgb="FFFFFFCC"/>
      </patternFill>
    </fill>
    <fill>
      <patternFill patternType="solid">
        <fgColor theme="9"/>
      </patternFill>
    </fill>
    <fill>
      <patternFill patternType="solid">
        <fgColor theme="2" tint="-0.499984740745262"/>
        <bgColor indexed="64"/>
      </patternFill>
    </fill>
    <fill>
      <patternFill patternType="solid">
        <fgColor rgb="FFF0F0F0"/>
        <bgColor indexed="64"/>
      </patternFill>
    </fill>
    <fill>
      <patternFill patternType="solid">
        <fgColor indexed="41"/>
        <bgColor indexed="64"/>
      </patternFill>
    </fill>
    <fill>
      <patternFill patternType="solid">
        <fgColor indexed="49"/>
        <bgColor indexed="64"/>
      </patternFill>
    </fill>
    <fill>
      <patternFill patternType="solid">
        <fgColor indexed="45"/>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theme="5" tint="0.39997558519241921"/>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top/>
      <bottom style="medium">
        <color indexed="64"/>
      </bottom>
      <diagonal/>
    </border>
    <border>
      <left/>
      <right style="thin">
        <color theme="5" tint="0.39997558519241921"/>
      </right>
      <top/>
      <bottom style="medium">
        <color indexed="64"/>
      </bottom>
      <diagonal/>
    </border>
    <border>
      <left style="thin">
        <color theme="9"/>
      </left>
      <right/>
      <top style="thin">
        <color theme="9"/>
      </top>
      <bottom/>
      <diagonal/>
    </border>
    <border>
      <left/>
      <right/>
      <top style="thin">
        <color theme="9"/>
      </top>
      <bottom style="thin">
        <color theme="9"/>
      </bottom>
      <diagonal/>
    </border>
    <border>
      <left/>
      <right style="thin">
        <color theme="9"/>
      </right>
      <top style="thin">
        <color theme="9"/>
      </top>
      <bottom style="thin">
        <color theme="9"/>
      </bottom>
      <diagonal/>
    </border>
  </borders>
  <cellStyleXfs count="5">
    <xf numFmtId="0" fontId="0" fillId="0" borderId="0"/>
    <xf numFmtId="0" fontId="2" fillId="2" borderId="1" applyNumberFormat="0" applyAlignment="0" applyProtection="0"/>
    <xf numFmtId="0" fontId="4" fillId="0" borderId="0" applyNumberFormat="0" applyFill="0" applyBorder="0" applyAlignment="0" applyProtection="0"/>
    <xf numFmtId="0" fontId="7" fillId="4" borderId="2" applyNumberFormat="0" applyFont="0" applyAlignment="0" applyProtection="0"/>
    <xf numFmtId="0" fontId="8" fillId="5" borderId="0" applyNumberFormat="0" applyBorder="0" applyAlignment="0" applyProtection="0"/>
  </cellStyleXfs>
  <cellXfs count="46">
    <xf numFmtId="0" fontId="0" fillId="0" borderId="0" xfId="0"/>
    <xf numFmtId="0" fontId="0" fillId="0" borderId="0" xfId="0" applyAlignment="1">
      <alignment horizontal="left" vertical="center"/>
    </xf>
    <xf numFmtId="14" fontId="0" fillId="0" borderId="0" xfId="0" applyNumberFormat="1"/>
    <xf numFmtId="164" fontId="0" fillId="0" borderId="0" xfId="0" applyNumberFormat="1"/>
    <xf numFmtId="0" fontId="3" fillId="3" borderId="0" xfId="0" applyFont="1" applyFill="1"/>
    <xf numFmtId="0" fontId="2" fillId="0" borderId="0" xfId="1" applyFill="1" applyBorder="1"/>
    <xf numFmtId="165" fontId="0" fillId="0" borderId="0" xfId="0" applyNumberFormat="1"/>
    <xf numFmtId="0" fontId="4" fillId="0" borderId="0" xfId="2"/>
    <xf numFmtId="0" fontId="6" fillId="0" borderId="0" xfId="0" applyFont="1" applyAlignment="1">
      <alignment vertical="center"/>
    </xf>
    <xf numFmtId="0" fontId="5" fillId="0" borderId="0" xfId="0" applyFont="1" applyAlignment="1">
      <alignment vertical="center"/>
    </xf>
    <xf numFmtId="0" fontId="6" fillId="0" borderId="0" xfId="0" applyFont="1" applyAlignment="1">
      <alignment horizontal="left" vertical="center"/>
    </xf>
    <xf numFmtId="0" fontId="0" fillId="0" borderId="0" xfId="0" applyAlignment="1">
      <alignment wrapText="1"/>
    </xf>
    <xf numFmtId="0" fontId="0" fillId="0" borderId="0" xfId="0"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3" fillId="5" borderId="4" xfId="4" applyFont="1" applyBorder="1"/>
    <xf numFmtId="0" fontId="3" fillId="5" borderId="3" xfId="4" applyFont="1" applyBorder="1"/>
    <xf numFmtId="0" fontId="0" fillId="0" borderId="0" xfId="0" applyAlignment="1">
      <alignment horizontal="center" vertical="center"/>
    </xf>
    <xf numFmtId="0" fontId="0" fillId="0" borderId="0" xfId="0" applyAlignment="1">
      <alignment vertical="center"/>
    </xf>
    <xf numFmtId="0" fontId="3" fillId="3" borderId="15" xfId="0" applyFont="1" applyFill="1" applyBorder="1"/>
    <xf numFmtId="0" fontId="0" fillId="0" borderId="16" xfId="0" applyBorder="1"/>
    <xf numFmtId="0" fontId="0" fillId="0" borderId="16" xfId="0" applyBorder="1" applyAlignment="1">
      <alignment horizontal="center"/>
    </xf>
    <xf numFmtId="0" fontId="0" fillId="0" borderId="17" xfId="0" applyBorder="1" applyAlignment="1">
      <alignment horizontal="center"/>
    </xf>
    <xf numFmtId="166" fontId="0" fillId="0" borderId="0" xfId="0" applyNumberFormat="1" applyAlignment="1">
      <alignment horizontal="right"/>
    </xf>
    <xf numFmtId="167" fontId="0" fillId="0" borderId="0" xfId="0" applyNumberFormat="1" applyAlignment="1">
      <alignment horizontal="right"/>
    </xf>
    <xf numFmtId="166" fontId="0" fillId="0" borderId="0" xfId="0" applyNumberFormat="1" applyAlignment="1">
      <alignment horizontal="right" vertical="center"/>
    </xf>
    <xf numFmtId="167" fontId="0" fillId="0" borderId="0" xfId="0" applyNumberFormat="1" applyAlignment="1">
      <alignment horizontal="right" vertical="center"/>
    </xf>
    <xf numFmtId="0" fontId="0" fillId="0" borderId="0" xfId="0" applyAlignment="1">
      <alignment horizontal="center"/>
    </xf>
    <xf numFmtId="2" fontId="0" fillId="0" borderId="0" xfId="0" applyNumberFormat="1" applyAlignment="1">
      <alignment horizontal="right" vertical="center"/>
    </xf>
    <xf numFmtId="1" fontId="0" fillId="0" borderId="0" xfId="0" applyNumberFormat="1" applyAlignment="1">
      <alignment horizontal="right" vertical="center"/>
    </xf>
    <xf numFmtId="0" fontId="0" fillId="6" borderId="0" xfId="0" applyFill="1" applyAlignment="1">
      <alignment horizontal="center" vertical="center" wrapText="1"/>
    </xf>
    <xf numFmtId="0" fontId="0" fillId="7" borderId="0" xfId="0" applyFill="1"/>
    <xf numFmtId="0" fontId="0" fillId="8" borderId="0" xfId="0" applyFill="1" applyAlignment="1">
      <alignment vertical="center"/>
    </xf>
    <xf numFmtId="0" fontId="0" fillId="9" borderId="0" xfId="0" applyFill="1" applyAlignment="1">
      <alignment vertical="center"/>
    </xf>
    <xf numFmtId="0" fontId="0" fillId="10" borderId="0" xfId="0" applyFill="1" applyAlignment="1">
      <alignment vertical="center"/>
    </xf>
    <xf numFmtId="0" fontId="4" fillId="0" borderId="0" xfId="2" applyAlignment="1">
      <alignment horizontal="left"/>
    </xf>
    <xf numFmtId="0" fontId="0" fillId="4" borderId="2" xfId="3" applyFont="1" applyAlignment="1">
      <alignment horizontal="left"/>
    </xf>
    <xf numFmtId="0" fontId="2" fillId="2" borderId="1" xfId="1" applyAlignment="1">
      <alignment horizontal="center"/>
    </xf>
    <xf numFmtId="0" fontId="2" fillId="2" borderId="13" xfId="1" applyBorder="1" applyAlignment="1">
      <alignment horizontal="center"/>
    </xf>
    <xf numFmtId="0" fontId="2" fillId="2" borderId="14" xfId="1" applyBorder="1" applyAlignment="1">
      <alignment horizontal="center"/>
    </xf>
  </cellXfs>
  <cellStyles count="5">
    <cellStyle name="Accent6" xfId="4" builtinId="49"/>
    <cellStyle name="Hyperlink" xfId="2" builtinId="8"/>
    <cellStyle name="Input" xfId="1" builtinId="20"/>
    <cellStyle name="Normal" xfId="0" builtinId="0"/>
    <cellStyle name="Note" xfId="3" builtinId="10"/>
  </cellStyles>
  <dxfs count="35">
    <dxf>
      <numFmt numFmtId="2" formatCode="0.00"/>
      <alignment horizontal="righ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numFmt numFmtId="167" formatCode="0.00\ &quot;kg&quot;"/>
      <alignment horizontal="right" vertical="center" textRotation="0" wrapText="0" indent="0" justifyLastLine="0" shrinkToFit="0" readingOrder="0"/>
    </dxf>
    <dxf>
      <numFmt numFmtId="166" formatCode="0.00\ &quot;cm&quot;"/>
      <alignment horizontal="right" vertical="center" textRotation="0" wrapText="0" indent="0" justifyLastLine="0" shrinkToFit="0" readingOrder="0"/>
    </dxf>
    <dxf>
      <numFmt numFmtId="166" formatCode="0.00\ &quot;cm&quot;"/>
      <alignment horizontal="right" vertical="center" textRotation="0" wrapText="0" indent="0" justifyLastLine="0" shrinkToFit="0" readingOrder="0"/>
    </dxf>
    <dxf>
      <numFmt numFmtId="166" formatCode="0.00\ &quot;cm&quot;"/>
      <alignment horizontal="right"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horizontal="center" vertical="center" textRotation="0" wrapText="1" indent="0" justifyLastLine="0" shrinkToFit="0" readingOrder="0"/>
    </dxf>
    <dxf>
      <numFmt numFmtId="167" formatCode="0.00\ &quot;kg&quot;"/>
      <alignment horizontal="right" vertical="bottom" textRotation="0" wrapText="0" indent="0" justifyLastLine="0" shrinkToFit="0" readingOrder="0"/>
    </dxf>
    <dxf>
      <numFmt numFmtId="166" formatCode="0.00\ &quot;cm&quot;"/>
      <alignment horizontal="right" vertical="bottom" textRotation="0" wrapText="0" indent="0" justifyLastLine="0" shrinkToFit="0" readingOrder="0"/>
    </dxf>
    <dxf>
      <numFmt numFmtId="166" formatCode="0.00\ &quot;cm&quot;"/>
      <alignment horizontal="right" vertical="bottom" textRotation="0" wrapText="0" indent="0" justifyLastLine="0" shrinkToFit="0" readingOrder="0"/>
    </dxf>
    <dxf>
      <numFmt numFmtId="166" formatCode="0.00\ &quot;cm&quot;"/>
      <alignment horizontal="right" vertical="bottom" textRotation="0" wrapText="0" indent="0" justifyLastLine="0" shrinkToFit="0" readingOrder="0"/>
    </dxf>
    <dxf>
      <fill>
        <patternFill patternType="none">
          <bgColor auto="1"/>
        </patternFill>
      </fill>
    </dxf>
    <dxf>
      <numFmt numFmtId="0" formatCode="General"/>
      <fill>
        <patternFill patternType="none">
          <bgColor auto="1"/>
        </patternFill>
      </fill>
    </dxf>
    <dxf>
      <numFmt numFmtId="165" formatCode="\+General;\-General"/>
      <fill>
        <patternFill patternType="none">
          <fgColor indexed="64"/>
          <bgColor indexed="65"/>
        </patternFill>
      </fill>
    </dxf>
    <dxf>
      <numFmt numFmtId="164"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bgColor auto="1"/>
        </patternFill>
      </fill>
    </dxf>
    <dxf>
      <fill>
        <patternFill patternType="none">
          <bgColor auto="1"/>
        </patternFill>
      </fil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4</xdr:col>
          <xdr:colOff>0</xdr:colOff>
          <xdr:row>3</xdr:row>
          <xdr:rowOff>0</xdr:rowOff>
        </xdr:to>
        <xdr:sp macro="" textlink="">
          <xdr:nvSpPr>
            <xdr:cNvPr id="1027" name="CommandButtonTrack"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xdr:row>
          <xdr:rowOff>0</xdr:rowOff>
        </xdr:from>
        <xdr:to>
          <xdr:col>14</xdr:col>
          <xdr:colOff>556260</xdr:colOff>
          <xdr:row>3</xdr:row>
          <xdr:rowOff>121920</xdr:rowOff>
        </xdr:to>
        <xdr:sp macro="" textlink="">
          <xdr:nvSpPr>
            <xdr:cNvPr id="6145" name="Conve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9024DBC-820A-4003-88F9-C30259CFB667}" autoFormatId="16" applyNumberFormats="0" applyBorderFormats="0" applyFontFormats="0" applyPatternFormats="0" applyAlignmentFormats="0" applyWidthHeightFormats="0">
  <queryTableRefresh nextId="13">
    <queryTableFields count="11">
      <queryTableField id="2" name="name" tableColumnId="2"/>
      <queryTableField id="3" name="alternativeName" tableColumnId="3"/>
      <queryTableField id="4" name="group" tableColumnId="4"/>
      <queryTableField id="5" name="continentCode" tableColumnId="5"/>
      <queryTableField id="6" name="continentName" tableColumnId="6"/>
      <queryTableField id="7" name="countryName" tableColumnId="7"/>
      <queryTableField id="8" name="countryCode" tableColumnId="8"/>
      <queryTableField id="9" name="mainCities" tableColumnId="9"/>
      <queryTableField id="10" name="rawOffsetInMinutes" tableColumnId="10"/>
      <queryTableField id="11" name="abbreviation" tableColumnId="11"/>
      <queryTableField id="12" name="rawFormat" tableColumnId="1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B3016E-0764-46D7-B3DA-D460520B47CA}" name="vvoTimeZone" displayName="vvoTimeZone" ref="L1:V663" tableType="queryTable" totalsRowShown="0">
  <autoFilter ref="L1:V663" xr:uid="{36B3016E-0764-46D7-B3DA-D460520B47CA}"/>
  <sortState xmlns:xlrd2="http://schemas.microsoft.com/office/spreadsheetml/2017/richdata2" ref="L2:V663">
    <sortCondition ref="R1:R663"/>
  </sortState>
  <tableColumns count="11">
    <tableColumn id="2" xr3:uid="{9C4B3904-C27B-4FE1-B350-EDC12A224C1D}" uniqueName="2" name="name" queryTableFieldId="2"/>
    <tableColumn id="3" xr3:uid="{9EC5E549-BBB5-4DF6-AF36-AEBE96126F1B}" uniqueName="3" name="alternativeName" queryTableFieldId="3"/>
    <tableColumn id="4" xr3:uid="{FE8DD79C-82C1-464F-A7B9-52943E2EA00B}" uniqueName="4" name="group" queryTableFieldId="4" dataDxfId="34"/>
    <tableColumn id="5" xr3:uid="{A456BBF8-18D4-44EA-856A-E56265EF76F0}" uniqueName="5" name="continentCode" queryTableFieldId="5"/>
    <tableColumn id="6" xr3:uid="{382DA5AA-ACFB-404B-ADB7-666337D93428}" uniqueName="6" name="continentName" queryTableFieldId="6"/>
    <tableColumn id="7" xr3:uid="{1C180EEF-1C86-4C83-9D61-9F977E9ADDA5}" uniqueName="7" name="countryName" queryTableFieldId="7"/>
    <tableColumn id="8" xr3:uid="{43EDC3B2-ED0B-47A9-8CED-177F409C833C}" uniqueName="8" name="countryCode" queryTableFieldId="8"/>
    <tableColumn id="9" xr3:uid="{65444A00-8007-4041-89CA-119BD6F701C9}" uniqueName="9" name="mainCities" queryTableFieldId="9" dataDxfId="33"/>
    <tableColumn id="10" xr3:uid="{85CF4419-317B-4E04-A1B3-6D9ACFFDFD86}" uniqueName="10" name="rawOffsetInMinutes" queryTableFieldId="10"/>
    <tableColumn id="11" xr3:uid="{931E952C-BC5C-4A19-AC53-93E7B64798B0}" uniqueName="11" name="abbreviation" queryTableFieldId="11"/>
    <tableColumn id="12" xr3:uid="{F06C0E95-14E2-4870-AE5C-A935938EDAD0}" uniqueName="12" name="rawFormat"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6B9B65-CDD2-4C3D-890E-B0D0A33C5808}" name="Table2" displayName="Table2" ref="B6:H16" totalsRowShown="0" dataDxfId="32">
  <autoFilter ref="B6:H16" xr:uid="{296B9B65-CDD2-4C3D-890E-B0D0A33C5808}"/>
  <tableColumns count="7">
    <tableColumn id="7" xr3:uid="{AC9A3AE7-B8BB-4C8B-8DB6-9F0F99C97E68}" name="Country" dataDxfId="31"/>
    <tableColumn id="1" xr3:uid="{FC6D9F84-8C40-4884-8D18-34A0EE4E15DA}" name="City" dataDxfId="30"/>
    <tableColumn id="2" xr3:uid="{E5B2CDFA-1E0F-4526-806F-10610ABDB503}" name="Date" dataDxfId="29"/>
    <tableColumn id="3" xr3:uid="{BD6482E2-F7E5-44E8-8EAC-756C62C57B1D}" name="Time" dataDxfId="28"/>
    <tableColumn id="8" xr3:uid="{BB45098C-3FA8-458F-AA6A-BA54A7B9F8AB}" name="UTC" dataDxfId="27">
      <calculatedColumnFormula>IFERROR(VLOOKUP(C7,vvoTimeZone[[group]:[rawFormat]],7,FALSE)/60,"")</calculatedColumnFormula>
    </tableColumn>
    <tableColumn id="9" xr3:uid="{A742D6A2-783F-4542-9EBC-6258D7AD1160}" name="Zone" dataDxfId="26">
      <calculatedColumnFormula>IFERROR(VLOOKUP(C7,vvoTimeZone[[group]:[rawFormat]],9,FALSE),"")</calculatedColumnFormula>
    </tableColumn>
    <tableColumn id="10" xr3:uid="{D7416714-F425-40C8-BC4E-8CCA8BA1D485}" name="Remark" dataDxfId="2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F83F00-E39E-459E-9A99-5E78E6E2151B}" name="CTNR_Spec" displayName="CTNR_Spec" ref="AN3:AR8" totalsRowShown="0">
  <autoFilter ref="AN3:AR8" xr:uid="{C3F83F00-E39E-459E-9A99-5E78E6E2151B}"/>
  <tableColumns count="5">
    <tableColumn id="1" xr3:uid="{382C1073-C884-4611-828D-EEFC2830E628}" name="CTNR"/>
    <tableColumn id="2" xr3:uid="{9E9EC266-058F-4EF8-A878-4EB6361CD293}" name="L_cm"/>
    <tableColumn id="3" xr3:uid="{05D79D74-2AC5-4632-8AE6-771E862028B8}" name="W_cm"/>
    <tableColumn id="4" xr3:uid="{BC0A8109-7409-44FA-A75A-B52127C6580E}" name="H_cm"/>
    <tableColumn id="5" xr3:uid="{41D19EDA-D0E3-4C7E-9480-495C81FBE0FE}" name="Payload_Kg"/>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F4EC27-8FD4-446C-AE14-D201C89DD916}" name="CTNR_Use" displayName="CTNR_Use" ref="A4:E9" totalsRowShown="0">
  <autoFilter ref="A4:E9" xr:uid="{6DF4EC27-8FD4-446C-AE14-D201C89DD916}"/>
  <tableColumns count="5">
    <tableColumn id="1" xr3:uid="{EC29B292-B7AC-431F-8542-29E914F0F8B8}" name="CTNR"/>
    <tableColumn id="2" xr3:uid="{2FF03E7E-4119-49F8-B5B1-7C388F91EB72}" name="Length" dataDxfId="24"/>
    <tableColumn id="3" xr3:uid="{AAFD7CA6-3D97-4E9C-979A-21B93F282F7D}" name="Width" dataDxfId="23"/>
    <tableColumn id="4" xr3:uid="{C8352E1D-AC08-4598-BECB-DB83EC338E25}" name="Height" dataDxfId="22"/>
    <tableColumn id="5" xr3:uid="{E167FA27-8797-4D3B-A2C6-4AE14492C466}" name="Payload" dataDxfId="21"/>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579816D-828D-4629-82D0-F84B1B2B7037}" name="Cargo_Spec" displayName="Cargo_Spec" ref="A12:V17" totalsRowShown="0" headerRowDxfId="20" dataDxfId="19">
  <autoFilter ref="A12:V17" xr:uid="{8579816D-828D-4629-82D0-F84B1B2B7037}"/>
  <tableColumns count="22">
    <tableColumn id="1" xr3:uid="{1344266B-2F00-4357-A962-403CDA9F946D}" name="CargoName" dataDxfId="18"/>
    <tableColumn id="2" xr3:uid="{B98F121C-BB8A-4CE3-A90C-B83AA3F23C9E}" name="Length" dataDxfId="17"/>
    <tableColumn id="3" xr3:uid="{2FEB8B33-E22F-47AB-9A92-AC5B394A72E1}" name="Width" dataDxfId="16"/>
    <tableColumn id="4" xr3:uid="{AA553002-9D3A-4C71-9532-4C9FE61C899A}" name="Height" dataDxfId="15"/>
    <tableColumn id="5" xr3:uid="{5CF08254-92CF-405C-9329-53DC0F47A448}" name="Weight" dataDxfId="14"/>
    <tableColumn id="6" xr3:uid="{C7FAED8E-AAA7-4628-94AE-3C9E57A5CD8F}" name="Quantity" dataDxfId="13"/>
    <tableColumn id="7" xr3:uid="{9627CACB-605A-41A5-9E2C-420650555CDD}" name="Stackable" dataDxfId="12"/>
    <tableColumn id="8" xr3:uid="{66D15670-54D7-4B9C-B41F-A31B8C0AD9B4}" name="Rotatable" dataDxfId="11"/>
    <tableColumn id="9" xr3:uid="{0961494D-A1C0-4303-9CB4-9CAB13963723}" name="RotationAxes" dataDxfId="10"/>
    <tableColumn id="10" xr3:uid="{AA5CDA27-4F8F-4921-9987-4320AE8E210E}" name="Color" dataDxfId="9"/>
    <tableColumn id="20" xr3:uid="{DCF7D558-2EF6-4233-8AED-E3412F36096B}" name="MaxStackLayers"/>
    <tableColumn id="21" xr3:uid="{2ADF8C28-9FDE-4F81-8FBC-8EB0F14889B6}" name="WeightCapacity"/>
    <tableColumn id="22" xr3:uid="{E0DD03B2-F409-4B4F-B2E6-75FD9CFA64D5}" name="CanInvert"/>
    <tableColumn id="12" xr3:uid="{6D392A2E-C566-4BE7-8DBB-178D03DCFC7B}" name="Shape" dataDxfId="8"/>
    <tableColumn id="13" xr3:uid="{70FCF092-9F65-40B4-90A3-6BB7E29D51C9}" name="Fragility" dataDxfId="7"/>
    <tableColumn id="14" xr3:uid="{66F6FA93-B74F-4453-A0C9-08A28A461E4F}" name="CenterOfGravityX" dataDxfId="6"/>
    <tableColumn id="11" xr3:uid="{8E9F9EED-6ED5-489E-B9DE-0B6C473954EF}" name="CenterOfGravityY" dataDxfId="5"/>
    <tableColumn id="19" xr3:uid="{F6E62B93-1526-46D2-BC02-1B9C8A9530B3}" name="CenterOfGravityZ" dataDxfId="4"/>
    <tableColumn id="15" xr3:uid="{3C21572B-8785-4B2A-B9AE-346DD65B8451}" name="SpecialHandling" dataDxfId="3"/>
    <tableColumn id="16" xr3:uid="{2AD5CB49-718E-4A73-ADD6-A8BCD1484FAD}" name="Grouping" dataDxfId="2"/>
    <tableColumn id="17" xr3:uid="{526B768E-942D-450D-84F0-0FC8506E91ED}" name="Precedence" dataDxfId="1"/>
    <tableColumn id="18" xr3:uid="{830A3FEA-ACE7-40CC-91CE-C78AE2475A23}" name="VolumeDensity" dataDxfId="0">
      <calculatedColumnFormula>IFERROR(Cargo_Spec[[#This Row],[Weight]]/(Cargo_Spec[[#This Row],[Length]]*Cargo_Spec[[#This Row],[Width]]*Cargo_Spec[[#This Row],[Height]]*0.000001),"")</calculatedColumnFormula>
    </tableColumn>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3B2AF2B-FC90-46BC-B90F-2CE1585F7C88}" name="Unit_Conversion" displayName="Unit_Conversion" ref="Q4:V90" totalsRowShown="0">
  <autoFilter ref="Q4:V90" xr:uid="{73B2AF2B-FC90-46BC-B90F-2CE1585F7C88}"/>
  <sortState xmlns:xlrd2="http://schemas.microsoft.com/office/spreadsheetml/2017/richdata2" ref="Q5:V104">
    <sortCondition ref="V4:V104"/>
  </sortState>
  <tableColumns count="6">
    <tableColumn id="1" xr3:uid="{2056AE2E-2458-47B2-B5A3-8FF09B7D1F19}" name="FromUnit"/>
    <tableColumn id="2" xr3:uid="{B0B5265E-1355-45D4-BA80-72F34524634D}" name="Factor"/>
    <tableColumn id="3" xr3:uid="{9D72FA41-68AE-4299-9E2A-607A0AE60E06}" name="ToUnit"/>
    <tableColumn id="4" xr3:uid="{47A02435-A390-43F5-AD1A-E684245E921D}" name="Offset"/>
    <tableColumn id="5" xr3:uid="{A9D1BFDA-4F82-4E91-82B0-2FAE32D3D479}" name="FormulaType"/>
    <tableColumn id="6" xr3:uid="{066E3182-D38F-4C84-830C-88DF3774FD8D}" name="Quantities"/>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5.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C3BF9-DC41-4C2A-A80C-4675512D04D1}">
  <sheetPr codeName="Sheet1"/>
  <dimension ref="A1"/>
  <sheetViews>
    <sheetView workbookViewId="0"/>
  </sheetViews>
  <sheetFormatPr defaultRowHeight="14.4"/>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A0E76-AB89-4310-8CBC-E513C06E4F8E}">
  <sheetPr codeName="Sheet2">
    <tabColor theme="6" tint="0.39997558519241921"/>
  </sheetPr>
  <dimension ref="A1:A11"/>
  <sheetViews>
    <sheetView workbookViewId="0">
      <selection activeCell="A6" sqref="A6"/>
    </sheetView>
  </sheetViews>
  <sheetFormatPr defaultRowHeight="14.4"/>
  <sheetData>
    <row r="1" spans="1:1" ht="15">
      <c r="A1" s="8" t="s">
        <v>1980</v>
      </c>
    </row>
    <row r="2" spans="1:1" ht="15">
      <c r="A2" s="9" t="s">
        <v>1988</v>
      </c>
    </row>
    <row r="3" spans="1:1">
      <c r="A3" s="1"/>
    </row>
    <row r="4" spans="1:1" ht="15">
      <c r="A4" s="10" t="s">
        <v>1981</v>
      </c>
    </row>
    <row r="5" spans="1:1" ht="15">
      <c r="A5" s="10" t="s">
        <v>1982</v>
      </c>
    </row>
    <row r="6" spans="1:1" ht="15">
      <c r="A6" s="10" t="s">
        <v>1983</v>
      </c>
    </row>
    <row r="7" spans="1:1" ht="15">
      <c r="A7" s="10" t="s">
        <v>1984</v>
      </c>
    </row>
    <row r="8" spans="1:1" ht="15">
      <c r="A8" s="10" t="s">
        <v>1985</v>
      </c>
    </row>
    <row r="9" spans="1:1" ht="15">
      <c r="A9" s="10" t="s">
        <v>1986</v>
      </c>
    </row>
    <row r="11" spans="1:1" ht="15">
      <c r="A11" s="8" t="s">
        <v>1987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01505-F729-41DF-B490-9989171E6E02}">
  <sheetPr codeName="Sheet3">
    <tabColor theme="5" tint="0.59999389629810485"/>
  </sheetPr>
  <dimension ref="A1:V663"/>
  <sheetViews>
    <sheetView workbookViewId="0">
      <selection activeCell="E22" sqref="E22"/>
    </sheetView>
  </sheetViews>
  <sheetFormatPr defaultRowHeight="14.4"/>
  <cols>
    <col min="3" max="3" width="19.109375" customWidth="1"/>
    <col min="4" max="4" width="11.33203125" customWidth="1"/>
    <col min="5" max="5" width="12.77734375" customWidth="1"/>
    <col min="7" max="7" width="57.21875" bestFit="1" customWidth="1"/>
    <col min="8" max="8" width="18.44140625" customWidth="1"/>
    <col min="12" max="12" width="28.5546875" bestFit="1" customWidth="1"/>
    <col min="13" max="13" width="28.77734375" bestFit="1" customWidth="1"/>
    <col min="14" max="14" width="31.33203125" bestFit="1" customWidth="1"/>
    <col min="15" max="15" width="15.77734375" bestFit="1" customWidth="1"/>
    <col min="16" max="16" width="16.44140625" bestFit="1" customWidth="1"/>
    <col min="17" max="17" width="39.109375" bestFit="1" customWidth="1"/>
    <col min="18" max="18" width="14.109375" bestFit="1" customWidth="1"/>
    <col min="19" max="19" width="27.6640625" customWidth="1"/>
    <col min="20" max="20" width="20.21875" bestFit="1" customWidth="1"/>
    <col min="21" max="21" width="13.88671875" bestFit="1" customWidth="1"/>
    <col min="22" max="22" width="80.88671875" bestFit="1" customWidth="1"/>
    <col min="23" max="23" width="9.33203125" bestFit="1" customWidth="1"/>
  </cols>
  <sheetData>
    <row r="1" spans="1:22">
      <c r="A1" s="7" t="s">
        <v>1978</v>
      </c>
      <c r="L1" t="s">
        <v>1658</v>
      </c>
      <c r="M1" t="s">
        <v>31</v>
      </c>
      <c r="N1" t="s">
        <v>32</v>
      </c>
      <c r="O1" t="s">
        <v>33</v>
      </c>
      <c r="P1" t="s">
        <v>34</v>
      </c>
      <c r="Q1" t="s">
        <v>35</v>
      </c>
      <c r="R1" t="s">
        <v>36</v>
      </c>
      <c r="S1" t="s">
        <v>1659</v>
      </c>
      <c r="T1" t="s">
        <v>37</v>
      </c>
      <c r="U1" t="s">
        <v>38</v>
      </c>
      <c r="V1" t="s">
        <v>39</v>
      </c>
    </row>
    <row r="2" spans="1:22">
      <c r="L2" t="s">
        <v>705</v>
      </c>
      <c r="M2" t="s">
        <v>695</v>
      </c>
      <c r="N2" t="s">
        <v>705</v>
      </c>
      <c r="O2" t="s">
        <v>564</v>
      </c>
      <c r="P2" t="s">
        <v>565</v>
      </c>
      <c r="Q2" t="s">
        <v>706</v>
      </c>
      <c r="R2" t="s">
        <v>707</v>
      </c>
      <c r="S2" t="s">
        <v>1785</v>
      </c>
      <c r="T2">
        <v>60</v>
      </c>
      <c r="U2" t="s">
        <v>699</v>
      </c>
      <c r="V2" t="s">
        <v>708</v>
      </c>
    </row>
    <row r="3" spans="1:22">
      <c r="L3" t="s">
        <v>1133</v>
      </c>
      <c r="M3" t="s">
        <v>1132</v>
      </c>
      <c r="N3" t="s">
        <v>1133</v>
      </c>
      <c r="O3" t="s">
        <v>56</v>
      </c>
      <c r="P3" t="s">
        <v>922</v>
      </c>
      <c r="Q3" t="s">
        <v>1134</v>
      </c>
      <c r="R3" t="s">
        <v>1135</v>
      </c>
      <c r="S3" t="s">
        <v>1882</v>
      </c>
      <c r="T3">
        <v>240</v>
      </c>
      <c r="U3" t="s">
        <v>560</v>
      </c>
      <c r="V3" t="s">
        <v>1136</v>
      </c>
    </row>
    <row r="4" spans="1:22">
      <c r="L4" t="s">
        <v>1133</v>
      </c>
      <c r="M4" t="s">
        <v>1132</v>
      </c>
      <c r="N4" t="s">
        <v>1137</v>
      </c>
      <c r="O4" t="s">
        <v>56</v>
      </c>
      <c r="P4" t="s">
        <v>922</v>
      </c>
      <c r="Q4" t="s">
        <v>1134</v>
      </c>
      <c r="R4" t="s">
        <v>1135</v>
      </c>
      <c r="S4" t="s">
        <v>1882</v>
      </c>
      <c r="T4">
        <v>240</v>
      </c>
      <c r="U4" t="s">
        <v>560</v>
      </c>
      <c r="V4" t="s">
        <v>1136</v>
      </c>
    </row>
    <row r="5" spans="1:22">
      <c r="L5" t="s">
        <v>1133</v>
      </c>
      <c r="M5" t="s">
        <v>1132</v>
      </c>
      <c r="N5" t="s">
        <v>1138</v>
      </c>
      <c r="O5" t="s">
        <v>56</v>
      </c>
      <c r="P5" t="s">
        <v>922</v>
      </c>
      <c r="Q5" t="s">
        <v>1134</v>
      </c>
      <c r="R5" t="s">
        <v>1135</v>
      </c>
      <c r="S5" t="s">
        <v>1882</v>
      </c>
      <c r="T5">
        <v>240</v>
      </c>
      <c r="U5" t="s">
        <v>560</v>
      </c>
      <c r="V5" t="s">
        <v>1136</v>
      </c>
    </row>
    <row r="6" spans="1:22">
      <c r="B6" s="4" t="s">
        <v>1977</v>
      </c>
      <c r="C6" t="s">
        <v>1976</v>
      </c>
      <c r="D6" t="s">
        <v>1975</v>
      </c>
      <c r="E6" t="s">
        <v>1974</v>
      </c>
      <c r="F6" t="s">
        <v>1657</v>
      </c>
      <c r="G6" t="s">
        <v>1973</v>
      </c>
      <c r="H6" t="s">
        <v>1979</v>
      </c>
      <c r="L6" t="s">
        <v>1133</v>
      </c>
      <c r="M6" t="s">
        <v>1132</v>
      </c>
      <c r="N6" t="s">
        <v>1139</v>
      </c>
      <c r="O6" t="s">
        <v>56</v>
      </c>
      <c r="P6" t="s">
        <v>922</v>
      </c>
      <c r="Q6" t="s">
        <v>1134</v>
      </c>
      <c r="R6" t="s">
        <v>1135</v>
      </c>
      <c r="S6" t="s">
        <v>1882</v>
      </c>
      <c r="T6">
        <v>240</v>
      </c>
      <c r="U6" t="s">
        <v>560</v>
      </c>
      <c r="V6" t="s">
        <v>1136</v>
      </c>
    </row>
    <row r="7" spans="1:22">
      <c r="B7" s="5"/>
      <c r="C7" t="s">
        <v>1371</v>
      </c>
      <c r="D7" s="2">
        <v>45748</v>
      </c>
      <c r="E7" s="3">
        <v>0.33333333333333331</v>
      </c>
      <c r="F7" s="6">
        <f>IFERROR(VLOOKUP(C7,vvoTimeZone[[group]:[rawFormat]],7,FALSE)/60,"")</f>
        <v>8</v>
      </c>
      <c r="G7" t="str">
        <f>IFERROR(VLOOKUP(C7,vvoTimeZone[[group]:[rawFormat]],9,FALSE),"")</f>
        <v>+08:00 China Time - Shanghai, Beijing, Shenzhen, Guangzhou</v>
      </c>
      <c r="L7" t="s">
        <v>1167</v>
      </c>
      <c r="M7" t="s">
        <v>1166</v>
      </c>
      <c r="N7" t="s">
        <v>1167</v>
      </c>
      <c r="O7" t="s">
        <v>56</v>
      </c>
      <c r="P7" t="s">
        <v>922</v>
      </c>
      <c r="Q7" t="s">
        <v>1168</v>
      </c>
      <c r="R7" t="s">
        <v>572</v>
      </c>
      <c r="S7" t="s">
        <v>1888</v>
      </c>
      <c r="T7">
        <v>270</v>
      </c>
      <c r="U7" t="s">
        <v>1169</v>
      </c>
      <c r="V7" t="s">
        <v>1170</v>
      </c>
    </row>
    <row r="8" spans="1:22">
      <c r="C8" t="s">
        <v>288</v>
      </c>
      <c r="D8" s="2"/>
      <c r="E8" s="3"/>
      <c r="F8" s="6">
        <f>IFERROR(VLOOKUP(C8,vvoTimeZone[[group]:[rawFormat]],7,FALSE)/60,"")</f>
        <v>-5</v>
      </c>
      <c r="G8" t="str">
        <f>IFERROR(VLOOKUP(C8,vvoTimeZone[[group]:[rawFormat]],9,FALSE),"")</f>
        <v>-05:00 Eastern Time - New York City, Brooklyn, Queens, Philadelphia</v>
      </c>
      <c r="L8" t="s">
        <v>414</v>
      </c>
      <c r="M8" t="s">
        <v>332</v>
      </c>
      <c r="N8" t="s">
        <v>414</v>
      </c>
      <c r="O8" t="s">
        <v>68</v>
      </c>
      <c r="P8" t="s">
        <v>69</v>
      </c>
      <c r="Q8" t="s">
        <v>415</v>
      </c>
      <c r="R8" t="s">
        <v>416</v>
      </c>
      <c r="S8" t="s">
        <v>1729</v>
      </c>
      <c r="T8">
        <v>-240</v>
      </c>
      <c r="U8" t="s">
        <v>336</v>
      </c>
      <c r="V8" t="s">
        <v>417</v>
      </c>
    </row>
    <row r="9" spans="1:22">
      <c r="C9" t="s">
        <v>449</v>
      </c>
      <c r="D9" s="2"/>
      <c r="E9" s="3"/>
      <c r="F9" s="6">
        <f>IFERROR(VLOOKUP(C9,vvoTimeZone[[group]:[rawFormat]],7,FALSE)/60,"")</f>
        <v>-4</v>
      </c>
      <c r="G9" t="str">
        <f>IFERROR(VLOOKUP(C9,vvoTimeZone[[group]:[rawFormat]],9,FALSE),"")</f>
        <v>-04:00 Chile Time - Santiago, Puente Alto, Antofagasta, Viña del Mar</v>
      </c>
      <c r="L9" t="s">
        <v>423</v>
      </c>
      <c r="M9" t="s">
        <v>332</v>
      </c>
      <c r="N9" t="s">
        <v>423</v>
      </c>
      <c r="O9" t="s">
        <v>68</v>
      </c>
      <c r="P9" t="s">
        <v>69</v>
      </c>
      <c r="Q9" t="s">
        <v>429</v>
      </c>
      <c r="R9" t="s">
        <v>430</v>
      </c>
      <c r="S9" t="s">
        <v>1732</v>
      </c>
      <c r="T9">
        <v>-240</v>
      </c>
      <c r="U9" t="s">
        <v>336</v>
      </c>
      <c r="V9" t="s">
        <v>431</v>
      </c>
    </row>
    <row r="10" spans="1:22">
      <c r="C10" t="s">
        <v>921</v>
      </c>
      <c r="D10" s="2"/>
      <c r="E10" s="3"/>
      <c r="F10" s="6">
        <f>IFERROR(VLOOKUP(C10,vvoTimeZone[[group]:[rawFormat]],7,FALSE)/60,"")</f>
        <v>2</v>
      </c>
      <c r="G10" t="str">
        <f>IFERROR(VLOOKUP(C10,vvoTimeZone[[group]:[rawFormat]],9,FALSE),"")</f>
        <v>+02:00 Eastern European Time - Beirut, Ra’s Bayrūt, Tripoli, Sidon</v>
      </c>
      <c r="L10" t="s">
        <v>801</v>
      </c>
      <c r="M10" t="s">
        <v>695</v>
      </c>
      <c r="N10" t="s">
        <v>801</v>
      </c>
      <c r="O10" t="s">
        <v>564</v>
      </c>
      <c r="P10" t="s">
        <v>565</v>
      </c>
      <c r="Q10" t="s">
        <v>802</v>
      </c>
      <c r="R10" t="s">
        <v>803</v>
      </c>
      <c r="S10" t="s">
        <v>1806</v>
      </c>
      <c r="T10">
        <v>60</v>
      </c>
      <c r="U10" t="s">
        <v>699</v>
      </c>
      <c r="V10" t="s">
        <v>804</v>
      </c>
    </row>
    <row r="11" spans="1:22">
      <c r="C11" t="s">
        <v>921</v>
      </c>
      <c r="D11" s="2"/>
      <c r="E11" s="3"/>
      <c r="F11" s="6">
        <f>IFERROR(VLOOKUP(C11,vvoTimeZone[[group]:[rawFormat]],7,FALSE)/60,"")</f>
        <v>2</v>
      </c>
      <c r="G11" t="str">
        <f>IFERROR(VLOOKUP(C11,vvoTimeZone[[group]:[rawFormat]],9,FALSE),"")</f>
        <v>+02:00 Eastern European Time - Beirut, Ra’s Bayrūt, Tripoli, Sidon</v>
      </c>
      <c r="L11" t="s">
        <v>1116</v>
      </c>
      <c r="M11" t="s">
        <v>1115</v>
      </c>
      <c r="N11" t="s">
        <v>1116</v>
      </c>
      <c r="O11" t="s">
        <v>56</v>
      </c>
      <c r="P11" t="s">
        <v>922</v>
      </c>
      <c r="Q11" t="s">
        <v>1117</v>
      </c>
      <c r="R11" t="s">
        <v>1118</v>
      </c>
      <c r="S11" t="s">
        <v>1879</v>
      </c>
      <c r="T11">
        <v>240</v>
      </c>
      <c r="U11" t="s">
        <v>325</v>
      </c>
      <c r="V11" t="s">
        <v>1119</v>
      </c>
    </row>
    <row r="12" spans="1:22">
      <c r="D12" s="2"/>
      <c r="E12" s="3"/>
      <c r="F12" s="6" t="str">
        <f>IFERROR(VLOOKUP(C12,vvoTimeZone[[group]:[rawFormat]],7,FALSE)/60,"")</f>
        <v/>
      </c>
      <c r="G12" t="str">
        <f>IFERROR(VLOOKUP(C12,vvoTimeZone[[group]:[rawFormat]],9,FALSE),"")</f>
        <v/>
      </c>
      <c r="L12" t="s">
        <v>862</v>
      </c>
      <c r="M12" t="s">
        <v>831</v>
      </c>
      <c r="N12" t="s">
        <v>862</v>
      </c>
      <c r="O12" t="s">
        <v>572</v>
      </c>
      <c r="P12" t="s">
        <v>573</v>
      </c>
      <c r="Q12" t="s">
        <v>867</v>
      </c>
      <c r="R12" t="s">
        <v>868</v>
      </c>
      <c r="S12" t="s">
        <v>1822</v>
      </c>
      <c r="T12">
        <v>60</v>
      </c>
      <c r="U12" t="s">
        <v>835</v>
      </c>
      <c r="V12" t="s">
        <v>869</v>
      </c>
    </row>
    <row r="13" spans="1:22">
      <c r="D13" s="2"/>
      <c r="E13" s="3"/>
      <c r="F13" s="6" t="str">
        <f>IFERROR(VLOOKUP(C13,vvoTimeZone[[group]:[rawFormat]],7,FALSE)/60,"")</f>
        <v/>
      </c>
      <c r="G13" t="str">
        <f>IFERROR(VLOOKUP(C13,vvoTimeZone[[group]:[rawFormat]],9,FALSE),"")</f>
        <v/>
      </c>
      <c r="L13" t="s">
        <v>503</v>
      </c>
      <c r="M13" t="s">
        <v>445</v>
      </c>
      <c r="N13" t="s">
        <v>503</v>
      </c>
      <c r="O13" t="s">
        <v>504</v>
      </c>
      <c r="P13" t="s">
        <v>505</v>
      </c>
      <c r="Q13" t="s">
        <v>505</v>
      </c>
      <c r="R13" t="s">
        <v>506</v>
      </c>
      <c r="S13" t="s">
        <v>1742</v>
      </c>
      <c r="T13">
        <v>-180</v>
      </c>
      <c r="U13" t="s">
        <v>447</v>
      </c>
      <c r="V13" t="s">
        <v>507</v>
      </c>
    </row>
    <row r="14" spans="1:22">
      <c r="D14" s="2"/>
      <c r="E14" s="3"/>
      <c r="F14" s="6" t="str">
        <f>IFERROR(VLOOKUP(C14,vvoTimeZone[[group]:[rawFormat]],7,FALSE)/60,"")</f>
        <v/>
      </c>
      <c r="G14" t="str">
        <f>IFERROR(VLOOKUP(C14,vvoTimeZone[[group]:[rawFormat]],9,FALSE),"")</f>
        <v/>
      </c>
      <c r="L14" t="s">
        <v>503</v>
      </c>
      <c r="M14" t="s">
        <v>445</v>
      </c>
      <c r="N14" t="s">
        <v>508</v>
      </c>
      <c r="O14" t="s">
        <v>504</v>
      </c>
      <c r="P14" t="s">
        <v>505</v>
      </c>
      <c r="Q14" t="s">
        <v>505</v>
      </c>
      <c r="R14" t="s">
        <v>506</v>
      </c>
      <c r="S14" t="s">
        <v>1742</v>
      </c>
      <c r="T14">
        <v>-180</v>
      </c>
      <c r="U14" t="s">
        <v>447</v>
      </c>
      <c r="V14" t="s">
        <v>507</v>
      </c>
    </row>
    <row r="15" spans="1:22">
      <c r="D15" s="2"/>
      <c r="E15" s="3"/>
      <c r="F15" s="6" t="str">
        <f>IFERROR(VLOOKUP(C15,vvoTimeZone[[group]:[rawFormat]],7,FALSE)/60,"")</f>
        <v/>
      </c>
      <c r="G15" t="str">
        <f>IFERROR(VLOOKUP(C15,vvoTimeZone[[group]:[rawFormat]],9,FALSE),"")</f>
        <v/>
      </c>
      <c r="L15" t="s">
        <v>666</v>
      </c>
      <c r="M15" t="s">
        <v>578</v>
      </c>
      <c r="N15" t="s">
        <v>666</v>
      </c>
      <c r="O15" t="s">
        <v>504</v>
      </c>
      <c r="P15" t="s">
        <v>505</v>
      </c>
      <c r="Q15" t="s">
        <v>505</v>
      </c>
      <c r="R15" t="s">
        <v>506</v>
      </c>
      <c r="S15" t="s">
        <v>1776</v>
      </c>
      <c r="T15">
        <v>0</v>
      </c>
      <c r="U15" t="s">
        <v>582</v>
      </c>
      <c r="V15" t="s">
        <v>667</v>
      </c>
    </row>
    <row r="16" spans="1:22">
      <c r="D16" s="2"/>
      <c r="E16" s="3"/>
      <c r="F16" s="6" t="str">
        <f>IFERROR(VLOOKUP(C16,vvoTimeZone[[group]:[rawFormat]],7,FALSE)/60,"")</f>
        <v/>
      </c>
      <c r="G16" t="str">
        <f>IFERROR(VLOOKUP(C16,vvoTimeZone[[group]:[rawFormat]],9,FALSE),"")</f>
        <v/>
      </c>
      <c r="L16" t="s">
        <v>1030</v>
      </c>
      <c r="M16" t="s">
        <v>1099</v>
      </c>
      <c r="N16" t="s">
        <v>1030</v>
      </c>
      <c r="O16" t="s">
        <v>504</v>
      </c>
      <c r="P16" t="s">
        <v>505</v>
      </c>
      <c r="Q16" t="s">
        <v>505</v>
      </c>
      <c r="R16" t="s">
        <v>506</v>
      </c>
      <c r="S16" t="s">
        <v>1876</v>
      </c>
      <c r="T16">
        <v>180</v>
      </c>
      <c r="U16" t="s">
        <v>1100</v>
      </c>
      <c r="V16" t="s">
        <v>1101</v>
      </c>
    </row>
    <row r="17" spans="12:22">
      <c r="L17" t="s">
        <v>1184</v>
      </c>
      <c r="M17" t="s">
        <v>1183</v>
      </c>
      <c r="N17" t="s">
        <v>1184</v>
      </c>
      <c r="O17" t="s">
        <v>504</v>
      </c>
      <c r="P17" t="s">
        <v>505</v>
      </c>
      <c r="Q17" t="s">
        <v>505</v>
      </c>
      <c r="R17" t="s">
        <v>506</v>
      </c>
      <c r="S17" t="s">
        <v>1891</v>
      </c>
      <c r="T17">
        <v>300</v>
      </c>
      <c r="U17" t="s">
        <v>1185</v>
      </c>
      <c r="V17" t="s">
        <v>1186</v>
      </c>
    </row>
    <row r="18" spans="12:22">
      <c r="L18" t="s">
        <v>1184</v>
      </c>
      <c r="M18" t="s">
        <v>1183</v>
      </c>
      <c r="N18" t="s">
        <v>1187</v>
      </c>
      <c r="O18" t="s">
        <v>504</v>
      </c>
      <c r="P18" t="s">
        <v>505</v>
      </c>
      <c r="Q18" t="s">
        <v>505</v>
      </c>
      <c r="R18" t="s">
        <v>506</v>
      </c>
      <c r="S18" t="s">
        <v>1891</v>
      </c>
      <c r="T18">
        <v>300</v>
      </c>
      <c r="U18" t="s">
        <v>1185</v>
      </c>
      <c r="V18" t="s">
        <v>1186</v>
      </c>
    </row>
    <row r="19" spans="12:22">
      <c r="L19" t="s">
        <v>1303</v>
      </c>
      <c r="M19" t="s">
        <v>1302</v>
      </c>
      <c r="N19" t="s">
        <v>1303</v>
      </c>
      <c r="O19" t="s">
        <v>504</v>
      </c>
      <c r="P19" t="s">
        <v>505</v>
      </c>
      <c r="Q19" t="s">
        <v>505</v>
      </c>
      <c r="R19" t="s">
        <v>506</v>
      </c>
      <c r="S19" t="s">
        <v>1910</v>
      </c>
      <c r="T19">
        <v>420</v>
      </c>
      <c r="U19" t="s">
        <v>1304</v>
      </c>
      <c r="V19" t="s">
        <v>1305</v>
      </c>
    </row>
    <row r="20" spans="12:22">
      <c r="L20" t="s">
        <v>1347</v>
      </c>
      <c r="M20" t="s">
        <v>1346</v>
      </c>
      <c r="N20" t="s">
        <v>1347</v>
      </c>
      <c r="O20" t="s">
        <v>504</v>
      </c>
      <c r="P20" t="s">
        <v>505</v>
      </c>
      <c r="Q20" t="s">
        <v>505</v>
      </c>
      <c r="R20" t="s">
        <v>506</v>
      </c>
      <c r="S20" t="s">
        <v>1918</v>
      </c>
      <c r="T20">
        <v>480</v>
      </c>
      <c r="U20" t="s">
        <v>1348</v>
      </c>
      <c r="V20" t="s">
        <v>1349</v>
      </c>
    </row>
    <row r="21" spans="12:22">
      <c r="L21" t="s">
        <v>1509</v>
      </c>
      <c r="M21" t="s">
        <v>1508</v>
      </c>
      <c r="N21" t="s">
        <v>1509</v>
      </c>
      <c r="O21" t="s">
        <v>504</v>
      </c>
      <c r="P21" t="s">
        <v>505</v>
      </c>
      <c r="Q21" t="s">
        <v>505</v>
      </c>
      <c r="R21" t="s">
        <v>506</v>
      </c>
      <c r="S21" t="s">
        <v>1946</v>
      </c>
      <c r="T21">
        <v>600</v>
      </c>
      <c r="U21" t="s">
        <v>1510</v>
      </c>
      <c r="V21" t="s">
        <v>1511</v>
      </c>
    </row>
    <row r="22" spans="12:22">
      <c r="L22" t="s">
        <v>1602</v>
      </c>
      <c r="M22" t="s">
        <v>1596</v>
      </c>
      <c r="N22" t="s">
        <v>1602</v>
      </c>
      <c r="O22" t="s">
        <v>504</v>
      </c>
      <c r="P22" t="s">
        <v>505</v>
      </c>
      <c r="Q22" t="s">
        <v>505</v>
      </c>
      <c r="R22" t="s">
        <v>506</v>
      </c>
      <c r="S22" t="s">
        <v>1962</v>
      </c>
      <c r="T22">
        <v>720</v>
      </c>
      <c r="U22" t="s">
        <v>1600</v>
      </c>
      <c r="V22" t="s">
        <v>1604</v>
      </c>
    </row>
    <row r="23" spans="12:22">
      <c r="L23" t="s">
        <v>468</v>
      </c>
      <c r="M23" t="s">
        <v>467</v>
      </c>
      <c r="N23" t="s">
        <v>468</v>
      </c>
      <c r="O23" t="s">
        <v>223</v>
      </c>
      <c r="P23" t="s">
        <v>224</v>
      </c>
      <c r="Q23" t="s">
        <v>469</v>
      </c>
      <c r="R23" t="s">
        <v>470</v>
      </c>
      <c r="S23" t="s">
        <v>1740</v>
      </c>
      <c r="T23">
        <v>-180</v>
      </c>
      <c r="U23" t="s">
        <v>471</v>
      </c>
      <c r="V23" t="s">
        <v>472</v>
      </c>
    </row>
    <row r="24" spans="12:22">
      <c r="L24" t="s">
        <v>468</v>
      </c>
      <c r="M24" t="s">
        <v>467</v>
      </c>
      <c r="N24" t="s">
        <v>473</v>
      </c>
      <c r="O24" t="s">
        <v>223</v>
      </c>
      <c r="P24" t="s">
        <v>224</v>
      </c>
      <c r="Q24" t="s">
        <v>469</v>
      </c>
      <c r="R24" t="s">
        <v>470</v>
      </c>
      <c r="S24" t="s">
        <v>1740</v>
      </c>
      <c r="T24">
        <v>-180</v>
      </c>
      <c r="U24" t="s">
        <v>471</v>
      </c>
      <c r="V24" t="s">
        <v>472</v>
      </c>
    </row>
    <row r="25" spans="12:22">
      <c r="L25" t="s">
        <v>468</v>
      </c>
      <c r="M25" t="s">
        <v>467</v>
      </c>
      <c r="N25" t="s">
        <v>474</v>
      </c>
      <c r="O25" t="s">
        <v>223</v>
      </c>
      <c r="P25" t="s">
        <v>224</v>
      </c>
      <c r="Q25" t="s">
        <v>469</v>
      </c>
      <c r="R25" t="s">
        <v>470</v>
      </c>
      <c r="S25" t="s">
        <v>1740</v>
      </c>
      <c r="T25">
        <v>-180</v>
      </c>
      <c r="U25" t="s">
        <v>471</v>
      </c>
      <c r="V25" t="s">
        <v>472</v>
      </c>
    </row>
    <row r="26" spans="12:22">
      <c r="L26" t="s">
        <v>468</v>
      </c>
      <c r="M26" t="s">
        <v>467</v>
      </c>
      <c r="N26" t="s">
        <v>475</v>
      </c>
      <c r="O26" t="s">
        <v>223</v>
      </c>
      <c r="P26" t="s">
        <v>224</v>
      </c>
      <c r="Q26" t="s">
        <v>469</v>
      </c>
      <c r="R26" t="s">
        <v>470</v>
      </c>
      <c r="S26" t="s">
        <v>1740</v>
      </c>
      <c r="T26">
        <v>-180</v>
      </c>
      <c r="U26" t="s">
        <v>471</v>
      </c>
      <c r="V26" t="s">
        <v>472</v>
      </c>
    </row>
    <row r="27" spans="12:22">
      <c r="L27" t="s">
        <v>468</v>
      </c>
      <c r="M27" t="s">
        <v>467</v>
      </c>
      <c r="N27" t="s">
        <v>476</v>
      </c>
      <c r="O27" t="s">
        <v>223</v>
      </c>
      <c r="P27" t="s">
        <v>224</v>
      </c>
      <c r="Q27" t="s">
        <v>469</v>
      </c>
      <c r="R27" t="s">
        <v>470</v>
      </c>
      <c r="S27" t="s">
        <v>1740</v>
      </c>
      <c r="T27">
        <v>-180</v>
      </c>
      <c r="U27" t="s">
        <v>471</v>
      </c>
      <c r="V27" t="s">
        <v>472</v>
      </c>
    </row>
    <row r="28" spans="12:22">
      <c r="L28" t="s">
        <v>468</v>
      </c>
      <c r="M28" t="s">
        <v>467</v>
      </c>
      <c r="N28" t="s">
        <v>477</v>
      </c>
      <c r="O28" t="s">
        <v>223</v>
      </c>
      <c r="P28" t="s">
        <v>224</v>
      </c>
      <c r="Q28" t="s">
        <v>469</v>
      </c>
      <c r="R28" t="s">
        <v>470</v>
      </c>
      <c r="S28" t="s">
        <v>1740</v>
      </c>
      <c r="T28">
        <v>-180</v>
      </c>
      <c r="U28" t="s">
        <v>471</v>
      </c>
      <c r="V28" t="s">
        <v>472</v>
      </c>
    </row>
    <row r="29" spans="12:22">
      <c r="L29" t="s">
        <v>468</v>
      </c>
      <c r="M29" t="s">
        <v>467</v>
      </c>
      <c r="N29" t="s">
        <v>478</v>
      </c>
      <c r="O29" t="s">
        <v>223</v>
      </c>
      <c r="P29" t="s">
        <v>224</v>
      </c>
      <c r="Q29" t="s">
        <v>469</v>
      </c>
      <c r="R29" t="s">
        <v>470</v>
      </c>
      <c r="S29" t="s">
        <v>1740</v>
      </c>
      <c r="T29">
        <v>-180</v>
      </c>
      <c r="U29" t="s">
        <v>471</v>
      </c>
      <c r="V29" t="s">
        <v>472</v>
      </c>
    </row>
    <row r="30" spans="12:22">
      <c r="L30" t="s">
        <v>468</v>
      </c>
      <c r="M30" t="s">
        <v>467</v>
      </c>
      <c r="N30" t="s">
        <v>479</v>
      </c>
      <c r="O30" t="s">
        <v>223</v>
      </c>
      <c r="P30" t="s">
        <v>224</v>
      </c>
      <c r="Q30" t="s">
        <v>469</v>
      </c>
      <c r="R30" t="s">
        <v>470</v>
      </c>
      <c r="S30" t="s">
        <v>1740</v>
      </c>
      <c r="T30">
        <v>-180</v>
      </c>
      <c r="U30" t="s">
        <v>471</v>
      </c>
      <c r="V30" t="s">
        <v>472</v>
      </c>
    </row>
    <row r="31" spans="12:22">
      <c r="L31" t="s">
        <v>468</v>
      </c>
      <c r="M31" t="s">
        <v>467</v>
      </c>
      <c r="N31" t="s">
        <v>480</v>
      </c>
      <c r="O31" t="s">
        <v>223</v>
      </c>
      <c r="P31" t="s">
        <v>224</v>
      </c>
      <c r="Q31" t="s">
        <v>469</v>
      </c>
      <c r="R31" t="s">
        <v>470</v>
      </c>
      <c r="S31" t="s">
        <v>1740</v>
      </c>
      <c r="T31">
        <v>-180</v>
      </c>
      <c r="U31" t="s">
        <v>471</v>
      </c>
      <c r="V31" t="s">
        <v>472</v>
      </c>
    </row>
    <row r="32" spans="12:22">
      <c r="L32" t="s">
        <v>468</v>
      </c>
      <c r="M32" t="s">
        <v>467</v>
      </c>
      <c r="N32" t="s">
        <v>481</v>
      </c>
      <c r="O32" t="s">
        <v>223</v>
      </c>
      <c r="P32" t="s">
        <v>224</v>
      </c>
      <c r="Q32" t="s">
        <v>469</v>
      </c>
      <c r="R32" t="s">
        <v>470</v>
      </c>
      <c r="S32" t="s">
        <v>1740</v>
      </c>
      <c r="T32">
        <v>-180</v>
      </c>
      <c r="U32" t="s">
        <v>471</v>
      </c>
      <c r="V32" t="s">
        <v>472</v>
      </c>
    </row>
    <row r="33" spans="12:22">
      <c r="L33" t="s">
        <v>468</v>
      </c>
      <c r="M33" t="s">
        <v>467</v>
      </c>
      <c r="N33" t="s">
        <v>482</v>
      </c>
      <c r="O33" t="s">
        <v>223</v>
      </c>
      <c r="P33" t="s">
        <v>224</v>
      </c>
      <c r="Q33" t="s">
        <v>469</v>
      </c>
      <c r="R33" t="s">
        <v>470</v>
      </c>
      <c r="S33" t="s">
        <v>1740</v>
      </c>
      <c r="T33">
        <v>-180</v>
      </c>
      <c r="U33" t="s">
        <v>471</v>
      </c>
      <c r="V33" t="s">
        <v>472</v>
      </c>
    </row>
    <row r="34" spans="12:22">
      <c r="L34" t="s">
        <v>468</v>
      </c>
      <c r="M34" t="s">
        <v>467</v>
      </c>
      <c r="N34" t="s">
        <v>483</v>
      </c>
      <c r="O34" t="s">
        <v>223</v>
      </c>
      <c r="P34" t="s">
        <v>224</v>
      </c>
      <c r="Q34" t="s">
        <v>469</v>
      </c>
      <c r="R34" t="s">
        <v>470</v>
      </c>
      <c r="S34" t="s">
        <v>1740</v>
      </c>
      <c r="T34">
        <v>-180</v>
      </c>
      <c r="U34" t="s">
        <v>471</v>
      </c>
      <c r="V34" t="s">
        <v>472</v>
      </c>
    </row>
    <row r="35" spans="12:22">
      <c r="L35" t="s">
        <v>468</v>
      </c>
      <c r="M35" t="s">
        <v>467</v>
      </c>
      <c r="N35" t="s">
        <v>484</v>
      </c>
      <c r="O35" t="s">
        <v>223</v>
      </c>
      <c r="P35" t="s">
        <v>224</v>
      </c>
      <c r="Q35" t="s">
        <v>469</v>
      </c>
      <c r="R35" t="s">
        <v>470</v>
      </c>
      <c r="S35" t="s">
        <v>1740</v>
      </c>
      <c r="T35">
        <v>-180</v>
      </c>
      <c r="U35" t="s">
        <v>471</v>
      </c>
      <c r="V35" t="s">
        <v>472</v>
      </c>
    </row>
    <row r="36" spans="12:22">
      <c r="L36" t="s">
        <v>468</v>
      </c>
      <c r="M36" t="s">
        <v>467</v>
      </c>
      <c r="N36" t="s">
        <v>485</v>
      </c>
      <c r="O36" t="s">
        <v>223</v>
      </c>
      <c r="P36" t="s">
        <v>224</v>
      </c>
      <c r="Q36" t="s">
        <v>469</v>
      </c>
      <c r="R36" t="s">
        <v>470</v>
      </c>
      <c r="S36" t="s">
        <v>1740</v>
      </c>
      <c r="T36">
        <v>-180</v>
      </c>
      <c r="U36" t="s">
        <v>471</v>
      </c>
      <c r="V36" t="s">
        <v>472</v>
      </c>
    </row>
    <row r="37" spans="12:22">
      <c r="L37" t="s">
        <v>468</v>
      </c>
      <c r="M37" t="s">
        <v>467</v>
      </c>
      <c r="N37" t="s">
        <v>486</v>
      </c>
      <c r="O37" t="s">
        <v>223</v>
      </c>
      <c r="P37" t="s">
        <v>224</v>
      </c>
      <c r="Q37" t="s">
        <v>469</v>
      </c>
      <c r="R37" t="s">
        <v>470</v>
      </c>
      <c r="S37" t="s">
        <v>1740</v>
      </c>
      <c r="T37">
        <v>-180</v>
      </c>
      <c r="U37" t="s">
        <v>471</v>
      </c>
      <c r="V37" t="s">
        <v>472</v>
      </c>
    </row>
    <row r="38" spans="12:22">
      <c r="L38" t="s">
        <v>468</v>
      </c>
      <c r="M38" t="s">
        <v>467</v>
      </c>
      <c r="N38" t="s">
        <v>487</v>
      </c>
      <c r="O38" t="s">
        <v>223</v>
      </c>
      <c r="P38" t="s">
        <v>224</v>
      </c>
      <c r="Q38" t="s">
        <v>469</v>
      </c>
      <c r="R38" t="s">
        <v>470</v>
      </c>
      <c r="S38" t="s">
        <v>1740</v>
      </c>
      <c r="T38">
        <v>-180</v>
      </c>
      <c r="U38" t="s">
        <v>471</v>
      </c>
      <c r="V38" t="s">
        <v>472</v>
      </c>
    </row>
    <row r="39" spans="12:22">
      <c r="L39" t="s">
        <v>468</v>
      </c>
      <c r="M39" t="s">
        <v>467</v>
      </c>
      <c r="N39" t="s">
        <v>488</v>
      </c>
      <c r="O39" t="s">
        <v>223</v>
      </c>
      <c r="P39" t="s">
        <v>224</v>
      </c>
      <c r="Q39" t="s">
        <v>469</v>
      </c>
      <c r="R39" t="s">
        <v>470</v>
      </c>
      <c r="S39" t="s">
        <v>1740</v>
      </c>
      <c r="T39">
        <v>-180</v>
      </c>
      <c r="U39" t="s">
        <v>471</v>
      </c>
      <c r="V39" t="s">
        <v>472</v>
      </c>
    </row>
    <row r="40" spans="12:22">
      <c r="L40" t="s">
        <v>468</v>
      </c>
      <c r="M40" t="s">
        <v>467</v>
      </c>
      <c r="N40" t="s">
        <v>489</v>
      </c>
      <c r="O40" t="s">
        <v>223</v>
      </c>
      <c r="P40" t="s">
        <v>224</v>
      </c>
      <c r="Q40" t="s">
        <v>469</v>
      </c>
      <c r="R40" t="s">
        <v>470</v>
      </c>
      <c r="S40" t="s">
        <v>1740</v>
      </c>
      <c r="T40">
        <v>-180</v>
      </c>
      <c r="U40" t="s">
        <v>471</v>
      </c>
      <c r="V40" t="s">
        <v>472</v>
      </c>
    </row>
    <row r="41" spans="12:22">
      <c r="L41" t="s">
        <v>468</v>
      </c>
      <c r="M41" t="s">
        <v>467</v>
      </c>
      <c r="N41" t="s">
        <v>490</v>
      </c>
      <c r="O41" t="s">
        <v>223</v>
      </c>
      <c r="P41" t="s">
        <v>224</v>
      </c>
      <c r="Q41" t="s">
        <v>469</v>
      </c>
      <c r="R41" t="s">
        <v>470</v>
      </c>
      <c r="S41" t="s">
        <v>1740</v>
      </c>
      <c r="T41">
        <v>-180</v>
      </c>
      <c r="U41" t="s">
        <v>471</v>
      </c>
      <c r="V41" t="s">
        <v>472</v>
      </c>
    </row>
    <row r="42" spans="12:22">
      <c r="L42" t="s">
        <v>54</v>
      </c>
      <c r="M42" t="s">
        <v>48</v>
      </c>
      <c r="N42" t="s">
        <v>54</v>
      </c>
      <c r="O42" t="s">
        <v>42</v>
      </c>
      <c r="P42" t="s">
        <v>43</v>
      </c>
      <c r="Q42" t="s">
        <v>55</v>
      </c>
      <c r="R42" t="s">
        <v>56</v>
      </c>
      <c r="S42" t="s">
        <v>1662</v>
      </c>
      <c r="T42">
        <v>-660</v>
      </c>
      <c r="U42" t="s">
        <v>52</v>
      </c>
      <c r="V42" t="s">
        <v>57</v>
      </c>
    </row>
    <row r="43" spans="12:22">
      <c r="L43" t="s">
        <v>54</v>
      </c>
      <c r="M43" t="s">
        <v>48</v>
      </c>
      <c r="N43" t="s">
        <v>58</v>
      </c>
      <c r="O43" t="s">
        <v>42</v>
      </c>
      <c r="P43" t="s">
        <v>43</v>
      </c>
      <c r="Q43" t="s">
        <v>55</v>
      </c>
      <c r="R43" t="s">
        <v>56</v>
      </c>
      <c r="S43" t="s">
        <v>1662</v>
      </c>
      <c r="T43">
        <v>-660</v>
      </c>
      <c r="U43" t="s">
        <v>52</v>
      </c>
      <c r="V43" t="s">
        <v>57</v>
      </c>
    </row>
    <row r="44" spans="12:22">
      <c r="L44" t="s">
        <v>54</v>
      </c>
      <c r="M44" t="s">
        <v>48</v>
      </c>
      <c r="N44" t="s">
        <v>59</v>
      </c>
      <c r="O44" t="s">
        <v>42</v>
      </c>
      <c r="P44" t="s">
        <v>43</v>
      </c>
      <c r="Q44" t="s">
        <v>55</v>
      </c>
      <c r="R44" t="s">
        <v>56</v>
      </c>
      <c r="S44" t="s">
        <v>1662</v>
      </c>
      <c r="T44">
        <v>-660</v>
      </c>
      <c r="U44" t="s">
        <v>52</v>
      </c>
      <c r="V44" t="s">
        <v>57</v>
      </c>
    </row>
    <row r="45" spans="12:22">
      <c r="L45" t="s">
        <v>54</v>
      </c>
      <c r="M45" t="s">
        <v>48</v>
      </c>
      <c r="N45" t="s">
        <v>49</v>
      </c>
      <c r="O45" t="s">
        <v>42</v>
      </c>
      <c r="P45" t="s">
        <v>43</v>
      </c>
      <c r="Q45" t="s">
        <v>55</v>
      </c>
      <c r="R45" t="s">
        <v>56</v>
      </c>
      <c r="S45" t="s">
        <v>1662</v>
      </c>
      <c r="T45">
        <v>-660</v>
      </c>
      <c r="U45" t="s">
        <v>52</v>
      </c>
      <c r="V45" t="s">
        <v>57</v>
      </c>
    </row>
    <row r="46" spans="12:22">
      <c r="L46" t="s">
        <v>816</v>
      </c>
      <c r="M46" t="s">
        <v>695</v>
      </c>
      <c r="N46" t="s">
        <v>816</v>
      </c>
      <c r="O46" t="s">
        <v>564</v>
      </c>
      <c r="P46" t="s">
        <v>565</v>
      </c>
      <c r="Q46" t="s">
        <v>817</v>
      </c>
      <c r="R46" t="s">
        <v>818</v>
      </c>
      <c r="S46" t="s">
        <v>1810</v>
      </c>
      <c r="T46">
        <v>60</v>
      </c>
      <c r="U46" t="s">
        <v>699</v>
      </c>
      <c r="V46" t="s">
        <v>819</v>
      </c>
    </row>
    <row r="47" spans="12:22">
      <c r="L47" t="s">
        <v>1350</v>
      </c>
      <c r="M47" t="s">
        <v>1346</v>
      </c>
      <c r="N47" t="s">
        <v>1350</v>
      </c>
      <c r="O47" t="s">
        <v>42</v>
      </c>
      <c r="P47" t="s">
        <v>43</v>
      </c>
      <c r="Q47" t="s">
        <v>1351</v>
      </c>
      <c r="R47" t="s">
        <v>1352</v>
      </c>
      <c r="S47" t="s">
        <v>1919</v>
      </c>
      <c r="T47">
        <v>480</v>
      </c>
      <c r="U47" t="s">
        <v>1348</v>
      </c>
      <c r="V47" t="s">
        <v>1353</v>
      </c>
    </row>
    <row r="48" spans="12:22">
      <c r="L48" t="s">
        <v>1350</v>
      </c>
      <c r="M48" t="s">
        <v>1346</v>
      </c>
      <c r="N48" t="s">
        <v>1354</v>
      </c>
      <c r="O48" t="s">
        <v>42</v>
      </c>
      <c r="P48" t="s">
        <v>43</v>
      </c>
      <c r="Q48" t="s">
        <v>1351</v>
      </c>
      <c r="R48" t="s">
        <v>1352</v>
      </c>
      <c r="S48" t="s">
        <v>1919</v>
      </c>
      <c r="T48">
        <v>480</v>
      </c>
      <c r="U48" t="s">
        <v>1348</v>
      </c>
      <c r="V48" t="s">
        <v>1353</v>
      </c>
    </row>
    <row r="49" spans="12:22">
      <c r="L49" t="s">
        <v>1421</v>
      </c>
      <c r="M49" t="s">
        <v>1420</v>
      </c>
      <c r="N49" t="s">
        <v>1421</v>
      </c>
      <c r="O49" t="s">
        <v>42</v>
      </c>
      <c r="P49" t="s">
        <v>43</v>
      </c>
      <c r="Q49" t="s">
        <v>1351</v>
      </c>
      <c r="R49" t="s">
        <v>1352</v>
      </c>
      <c r="S49" t="s">
        <v>1931</v>
      </c>
      <c r="T49">
        <v>525</v>
      </c>
      <c r="U49" t="s">
        <v>1422</v>
      </c>
      <c r="V49" t="s">
        <v>1423</v>
      </c>
    </row>
    <row r="50" spans="12:22">
      <c r="L50" t="s">
        <v>1464</v>
      </c>
      <c r="M50" t="s">
        <v>1463</v>
      </c>
      <c r="N50" t="s">
        <v>1464</v>
      </c>
      <c r="O50" t="s">
        <v>42</v>
      </c>
      <c r="P50" t="s">
        <v>43</v>
      </c>
      <c r="Q50" t="s">
        <v>1351</v>
      </c>
      <c r="R50" t="s">
        <v>1352</v>
      </c>
      <c r="S50" t="s">
        <v>1939</v>
      </c>
      <c r="T50">
        <v>570</v>
      </c>
      <c r="U50" t="s">
        <v>1465</v>
      </c>
      <c r="V50" t="s">
        <v>1466</v>
      </c>
    </row>
    <row r="51" spans="12:22">
      <c r="L51" t="s">
        <v>1464</v>
      </c>
      <c r="M51" t="s">
        <v>1463</v>
      </c>
      <c r="N51" t="s">
        <v>1467</v>
      </c>
      <c r="O51" t="s">
        <v>42</v>
      </c>
      <c r="P51" t="s">
        <v>43</v>
      </c>
      <c r="Q51" t="s">
        <v>1351</v>
      </c>
      <c r="R51" t="s">
        <v>1352</v>
      </c>
      <c r="S51" t="s">
        <v>1939</v>
      </c>
      <c r="T51">
        <v>570</v>
      </c>
      <c r="U51" t="s">
        <v>1465</v>
      </c>
      <c r="V51" t="s">
        <v>1466</v>
      </c>
    </row>
    <row r="52" spans="12:22">
      <c r="L52" t="s">
        <v>1464</v>
      </c>
      <c r="M52" t="s">
        <v>1463</v>
      </c>
      <c r="N52" t="s">
        <v>1468</v>
      </c>
      <c r="O52" t="s">
        <v>42</v>
      </c>
      <c r="P52" t="s">
        <v>43</v>
      </c>
      <c r="Q52" t="s">
        <v>1351</v>
      </c>
      <c r="R52" t="s">
        <v>1352</v>
      </c>
      <c r="S52" t="s">
        <v>1939</v>
      </c>
      <c r="T52">
        <v>570</v>
      </c>
      <c r="U52" t="s">
        <v>1465</v>
      </c>
      <c r="V52" t="s">
        <v>1466</v>
      </c>
    </row>
    <row r="53" spans="12:22">
      <c r="L53" t="s">
        <v>1464</v>
      </c>
      <c r="M53" t="s">
        <v>1463</v>
      </c>
      <c r="N53" t="s">
        <v>1469</v>
      </c>
      <c r="O53" t="s">
        <v>42</v>
      </c>
      <c r="P53" t="s">
        <v>43</v>
      </c>
      <c r="Q53" t="s">
        <v>1351</v>
      </c>
      <c r="R53" t="s">
        <v>1352</v>
      </c>
      <c r="S53" t="s">
        <v>1939</v>
      </c>
      <c r="T53">
        <v>570</v>
      </c>
      <c r="U53" t="s">
        <v>1465</v>
      </c>
      <c r="V53" t="s">
        <v>1466</v>
      </c>
    </row>
    <row r="54" spans="12:22">
      <c r="L54" t="s">
        <v>1470</v>
      </c>
      <c r="M54" t="s">
        <v>1463</v>
      </c>
      <c r="N54" t="s">
        <v>1470</v>
      </c>
      <c r="O54" t="s">
        <v>42</v>
      </c>
      <c r="P54" t="s">
        <v>43</v>
      </c>
      <c r="Q54" t="s">
        <v>1351</v>
      </c>
      <c r="R54" t="s">
        <v>1352</v>
      </c>
      <c r="S54" t="s">
        <v>1940</v>
      </c>
      <c r="T54">
        <v>570</v>
      </c>
      <c r="U54" t="s">
        <v>1465</v>
      </c>
      <c r="V54" t="s">
        <v>1471</v>
      </c>
    </row>
    <row r="55" spans="12:22">
      <c r="L55" t="s">
        <v>1470</v>
      </c>
      <c r="M55" t="s">
        <v>1463</v>
      </c>
      <c r="N55" t="s">
        <v>1472</v>
      </c>
      <c r="O55" t="s">
        <v>42</v>
      </c>
      <c r="P55" t="s">
        <v>43</v>
      </c>
      <c r="Q55" t="s">
        <v>1351</v>
      </c>
      <c r="R55" t="s">
        <v>1352</v>
      </c>
      <c r="S55" t="s">
        <v>1940</v>
      </c>
      <c r="T55">
        <v>570</v>
      </c>
      <c r="U55" t="s">
        <v>1465</v>
      </c>
      <c r="V55" t="s">
        <v>1471</v>
      </c>
    </row>
    <row r="56" spans="12:22">
      <c r="L56" t="s">
        <v>1474</v>
      </c>
      <c r="M56" t="s">
        <v>1473</v>
      </c>
      <c r="N56" t="s">
        <v>1474</v>
      </c>
      <c r="O56" t="s">
        <v>42</v>
      </c>
      <c r="P56" t="s">
        <v>43</v>
      </c>
      <c r="Q56" t="s">
        <v>1351</v>
      </c>
      <c r="R56" t="s">
        <v>1352</v>
      </c>
      <c r="S56" t="s">
        <v>1941</v>
      </c>
      <c r="T56">
        <v>600</v>
      </c>
      <c r="U56" t="s">
        <v>1475</v>
      </c>
      <c r="V56" t="s">
        <v>1476</v>
      </c>
    </row>
    <row r="57" spans="12:22">
      <c r="L57" t="s">
        <v>1474</v>
      </c>
      <c r="M57" t="s">
        <v>1473</v>
      </c>
      <c r="N57" t="s">
        <v>1477</v>
      </c>
      <c r="O57" t="s">
        <v>42</v>
      </c>
      <c r="P57" t="s">
        <v>43</v>
      </c>
      <c r="Q57" t="s">
        <v>1351</v>
      </c>
      <c r="R57" t="s">
        <v>1352</v>
      </c>
      <c r="S57" t="s">
        <v>1941</v>
      </c>
      <c r="T57">
        <v>600</v>
      </c>
      <c r="U57" t="s">
        <v>1475</v>
      </c>
      <c r="V57" t="s">
        <v>1476</v>
      </c>
    </row>
    <row r="58" spans="12:22">
      <c r="L58" t="s">
        <v>1474</v>
      </c>
      <c r="M58" t="s">
        <v>1473</v>
      </c>
      <c r="N58" t="s">
        <v>1478</v>
      </c>
      <c r="O58" t="s">
        <v>42</v>
      </c>
      <c r="P58" t="s">
        <v>43</v>
      </c>
      <c r="Q58" t="s">
        <v>1351</v>
      </c>
      <c r="R58" t="s">
        <v>1352</v>
      </c>
      <c r="S58" t="s">
        <v>1941</v>
      </c>
      <c r="T58">
        <v>600</v>
      </c>
      <c r="U58" t="s">
        <v>1475</v>
      </c>
      <c r="V58" t="s">
        <v>1476</v>
      </c>
    </row>
    <row r="59" spans="12:22">
      <c r="L59" t="s">
        <v>1483</v>
      </c>
      <c r="M59" t="s">
        <v>1473</v>
      </c>
      <c r="N59" t="s">
        <v>1479</v>
      </c>
      <c r="O59" t="s">
        <v>42</v>
      </c>
      <c r="P59" t="s">
        <v>43</v>
      </c>
      <c r="Q59" t="s">
        <v>1351</v>
      </c>
      <c r="R59" t="s">
        <v>1352</v>
      </c>
      <c r="S59" t="s">
        <v>1942</v>
      </c>
      <c r="T59">
        <v>600</v>
      </c>
      <c r="U59" t="s">
        <v>1475</v>
      </c>
      <c r="V59" t="s">
        <v>1480</v>
      </c>
    </row>
    <row r="60" spans="12:22">
      <c r="L60" t="s">
        <v>1483</v>
      </c>
      <c r="M60" t="s">
        <v>1473</v>
      </c>
      <c r="N60" t="s">
        <v>1481</v>
      </c>
      <c r="O60" t="s">
        <v>42</v>
      </c>
      <c r="P60" t="s">
        <v>43</v>
      </c>
      <c r="Q60" t="s">
        <v>1351</v>
      </c>
      <c r="R60" t="s">
        <v>1352</v>
      </c>
      <c r="S60" t="s">
        <v>1942</v>
      </c>
      <c r="T60">
        <v>600</v>
      </c>
      <c r="U60" t="s">
        <v>1475</v>
      </c>
      <c r="V60" t="s">
        <v>1480</v>
      </c>
    </row>
    <row r="61" spans="12:22">
      <c r="L61" t="s">
        <v>1483</v>
      </c>
      <c r="M61" t="s">
        <v>1473</v>
      </c>
      <c r="N61" t="s">
        <v>1482</v>
      </c>
      <c r="O61" t="s">
        <v>42</v>
      </c>
      <c r="P61" t="s">
        <v>43</v>
      </c>
      <c r="Q61" t="s">
        <v>1351</v>
      </c>
      <c r="R61" t="s">
        <v>1352</v>
      </c>
      <c r="S61" t="s">
        <v>1942</v>
      </c>
      <c r="T61">
        <v>600</v>
      </c>
      <c r="U61" t="s">
        <v>1475</v>
      </c>
      <c r="V61" t="s">
        <v>1480</v>
      </c>
    </row>
    <row r="62" spans="12:22">
      <c r="L62" t="s">
        <v>1483</v>
      </c>
      <c r="M62" t="s">
        <v>1473</v>
      </c>
      <c r="N62" t="s">
        <v>1483</v>
      </c>
      <c r="O62" t="s">
        <v>42</v>
      </c>
      <c r="P62" t="s">
        <v>43</v>
      </c>
      <c r="Q62" t="s">
        <v>1351</v>
      </c>
      <c r="R62" t="s">
        <v>1352</v>
      </c>
      <c r="S62" t="s">
        <v>1942</v>
      </c>
      <c r="T62">
        <v>600</v>
      </c>
      <c r="U62" t="s">
        <v>1475</v>
      </c>
      <c r="V62" t="s">
        <v>1480</v>
      </c>
    </row>
    <row r="63" spans="12:22">
      <c r="L63" t="s">
        <v>1483</v>
      </c>
      <c r="M63" t="s">
        <v>1473</v>
      </c>
      <c r="N63" t="s">
        <v>1484</v>
      </c>
      <c r="O63" t="s">
        <v>42</v>
      </c>
      <c r="P63" t="s">
        <v>43</v>
      </c>
      <c r="Q63" t="s">
        <v>1351</v>
      </c>
      <c r="R63" t="s">
        <v>1352</v>
      </c>
      <c r="S63" t="s">
        <v>1942</v>
      </c>
      <c r="T63">
        <v>600</v>
      </c>
      <c r="U63" t="s">
        <v>1475</v>
      </c>
      <c r="V63" t="s">
        <v>1480</v>
      </c>
    </row>
    <row r="64" spans="12:22">
      <c r="L64" t="s">
        <v>1483</v>
      </c>
      <c r="M64" t="s">
        <v>1473</v>
      </c>
      <c r="N64" t="s">
        <v>1485</v>
      </c>
      <c r="O64" t="s">
        <v>42</v>
      </c>
      <c r="P64" t="s">
        <v>43</v>
      </c>
      <c r="Q64" t="s">
        <v>1351</v>
      </c>
      <c r="R64" t="s">
        <v>1352</v>
      </c>
      <c r="S64" t="s">
        <v>1942</v>
      </c>
      <c r="T64">
        <v>600</v>
      </c>
      <c r="U64" t="s">
        <v>1475</v>
      </c>
      <c r="V64" t="s">
        <v>1480</v>
      </c>
    </row>
    <row r="65" spans="12:22">
      <c r="L65" t="s">
        <v>1483</v>
      </c>
      <c r="M65" t="s">
        <v>1473</v>
      </c>
      <c r="N65" t="s">
        <v>1486</v>
      </c>
      <c r="O65" t="s">
        <v>42</v>
      </c>
      <c r="P65" t="s">
        <v>43</v>
      </c>
      <c r="Q65" t="s">
        <v>1351</v>
      </c>
      <c r="R65" t="s">
        <v>1352</v>
      </c>
      <c r="S65" t="s">
        <v>1942</v>
      </c>
      <c r="T65">
        <v>600</v>
      </c>
      <c r="U65" t="s">
        <v>1475</v>
      </c>
      <c r="V65" t="s">
        <v>1480</v>
      </c>
    </row>
    <row r="66" spans="12:22">
      <c r="L66" t="s">
        <v>1483</v>
      </c>
      <c r="M66" t="s">
        <v>1473</v>
      </c>
      <c r="N66" t="s">
        <v>1487</v>
      </c>
      <c r="O66" t="s">
        <v>42</v>
      </c>
      <c r="P66" t="s">
        <v>43</v>
      </c>
      <c r="Q66" t="s">
        <v>1351</v>
      </c>
      <c r="R66" t="s">
        <v>1352</v>
      </c>
      <c r="S66" t="s">
        <v>1942</v>
      </c>
      <c r="T66">
        <v>600</v>
      </c>
      <c r="U66" t="s">
        <v>1475</v>
      </c>
      <c r="V66" t="s">
        <v>1480</v>
      </c>
    </row>
    <row r="67" spans="12:22">
      <c r="L67" t="s">
        <v>1483</v>
      </c>
      <c r="M67" t="s">
        <v>1473</v>
      </c>
      <c r="N67" t="s">
        <v>1488</v>
      </c>
      <c r="O67" t="s">
        <v>42</v>
      </c>
      <c r="P67" t="s">
        <v>43</v>
      </c>
      <c r="Q67" t="s">
        <v>1351</v>
      </c>
      <c r="R67" t="s">
        <v>1352</v>
      </c>
      <c r="S67" t="s">
        <v>1942</v>
      </c>
      <c r="T67">
        <v>600</v>
      </c>
      <c r="U67" t="s">
        <v>1475</v>
      </c>
      <c r="V67" t="s">
        <v>1480</v>
      </c>
    </row>
    <row r="68" spans="12:22">
      <c r="L68" t="s">
        <v>1483</v>
      </c>
      <c r="M68" t="s">
        <v>1473</v>
      </c>
      <c r="N68" t="s">
        <v>1489</v>
      </c>
      <c r="O68" t="s">
        <v>42</v>
      </c>
      <c r="P68" t="s">
        <v>43</v>
      </c>
      <c r="Q68" t="s">
        <v>1351</v>
      </c>
      <c r="R68" t="s">
        <v>1352</v>
      </c>
      <c r="S68" t="s">
        <v>1942</v>
      </c>
      <c r="T68">
        <v>600</v>
      </c>
      <c r="U68" t="s">
        <v>1475</v>
      </c>
      <c r="V68" t="s">
        <v>1480</v>
      </c>
    </row>
    <row r="69" spans="12:22">
      <c r="L69" t="s">
        <v>1524</v>
      </c>
      <c r="M69" t="s">
        <v>1523</v>
      </c>
      <c r="N69" t="s">
        <v>1524</v>
      </c>
      <c r="O69" t="s">
        <v>42</v>
      </c>
      <c r="P69" t="s">
        <v>43</v>
      </c>
      <c r="Q69" t="s">
        <v>1351</v>
      </c>
      <c r="R69" t="s">
        <v>1352</v>
      </c>
      <c r="S69" t="s">
        <v>1949</v>
      </c>
      <c r="T69">
        <v>630</v>
      </c>
      <c r="U69" t="s">
        <v>1525</v>
      </c>
      <c r="V69" t="s">
        <v>1526</v>
      </c>
    </row>
    <row r="70" spans="12:22">
      <c r="L70" t="s">
        <v>1524</v>
      </c>
      <c r="M70" t="s">
        <v>1523</v>
      </c>
      <c r="N70" t="s">
        <v>1527</v>
      </c>
      <c r="O70" t="s">
        <v>42</v>
      </c>
      <c r="P70" t="s">
        <v>43</v>
      </c>
      <c r="Q70" t="s">
        <v>1351</v>
      </c>
      <c r="R70" t="s">
        <v>1352</v>
      </c>
      <c r="S70" t="s">
        <v>1949</v>
      </c>
      <c r="T70">
        <v>630</v>
      </c>
      <c r="U70" t="s">
        <v>1525</v>
      </c>
      <c r="V70" t="s">
        <v>1526</v>
      </c>
    </row>
    <row r="71" spans="12:22">
      <c r="L71" t="s">
        <v>390</v>
      </c>
      <c r="M71" t="s">
        <v>332</v>
      </c>
      <c r="N71" t="s">
        <v>390</v>
      </c>
      <c r="O71" t="s">
        <v>68</v>
      </c>
      <c r="P71" t="s">
        <v>69</v>
      </c>
      <c r="Q71" t="s">
        <v>391</v>
      </c>
      <c r="R71" t="s">
        <v>392</v>
      </c>
      <c r="S71" t="s">
        <v>1723</v>
      </c>
      <c r="T71">
        <v>-240</v>
      </c>
      <c r="U71" t="s">
        <v>336</v>
      </c>
      <c r="V71" t="s">
        <v>393</v>
      </c>
    </row>
    <row r="72" spans="12:22">
      <c r="L72" t="s">
        <v>948</v>
      </c>
      <c r="M72" t="s">
        <v>915</v>
      </c>
      <c r="N72" t="s">
        <v>948</v>
      </c>
      <c r="O72" t="s">
        <v>564</v>
      </c>
      <c r="P72" t="s">
        <v>565</v>
      </c>
      <c r="Q72" t="s">
        <v>960</v>
      </c>
      <c r="R72" t="s">
        <v>961</v>
      </c>
      <c r="S72" t="s">
        <v>1844</v>
      </c>
      <c r="T72">
        <v>120</v>
      </c>
      <c r="U72" t="s">
        <v>919</v>
      </c>
      <c r="V72" t="s">
        <v>962</v>
      </c>
    </row>
    <row r="73" spans="12:22">
      <c r="L73" t="s">
        <v>1121</v>
      </c>
      <c r="M73" t="s">
        <v>1120</v>
      </c>
      <c r="N73" t="s">
        <v>1121</v>
      </c>
      <c r="O73" t="s">
        <v>56</v>
      </c>
      <c r="P73" t="s">
        <v>922</v>
      </c>
      <c r="Q73" t="s">
        <v>1122</v>
      </c>
      <c r="R73" t="s">
        <v>1123</v>
      </c>
      <c r="S73" t="s">
        <v>1880</v>
      </c>
      <c r="T73">
        <v>240</v>
      </c>
      <c r="U73" t="s">
        <v>1124</v>
      </c>
      <c r="V73" t="s">
        <v>1125</v>
      </c>
    </row>
    <row r="74" spans="12:22">
      <c r="L74" t="s">
        <v>715</v>
      </c>
      <c r="M74" t="s">
        <v>695</v>
      </c>
      <c r="N74" t="s">
        <v>715</v>
      </c>
      <c r="O74" t="s">
        <v>564</v>
      </c>
      <c r="P74" t="s">
        <v>565</v>
      </c>
      <c r="Q74" t="s">
        <v>792</v>
      </c>
      <c r="R74" t="s">
        <v>793</v>
      </c>
      <c r="S74" t="s">
        <v>1803</v>
      </c>
      <c r="T74">
        <v>60</v>
      </c>
      <c r="U74" t="s">
        <v>699</v>
      </c>
      <c r="V74" t="s">
        <v>794</v>
      </c>
    </row>
    <row r="75" spans="12:22">
      <c r="L75" t="s">
        <v>344</v>
      </c>
      <c r="M75" t="s">
        <v>332</v>
      </c>
      <c r="N75" t="s">
        <v>344</v>
      </c>
      <c r="O75" t="s">
        <v>68</v>
      </c>
      <c r="P75" t="s">
        <v>69</v>
      </c>
      <c r="Q75" t="s">
        <v>345</v>
      </c>
      <c r="R75" t="s">
        <v>346</v>
      </c>
      <c r="S75" t="s">
        <v>1712</v>
      </c>
      <c r="T75">
        <v>-240</v>
      </c>
      <c r="U75" t="s">
        <v>336</v>
      </c>
      <c r="V75" t="s">
        <v>347</v>
      </c>
    </row>
    <row r="76" spans="12:22">
      <c r="L76" t="s">
        <v>1248</v>
      </c>
      <c r="M76" t="s">
        <v>1247</v>
      </c>
      <c r="N76" t="s">
        <v>1248</v>
      </c>
      <c r="O76" t="s">
        <v>56</v>
      </c>
      <c r="P76" t="s">
        <v>922</v>
      </c>
      <c r="Q76" t="s">
        <v>1249</v>
      </c>
      <c r="R76" t="s">
        <v>1250</v>
      </c>
      <c r="S76" t="s">
        <v>1901</v>
      </c>
      <c r="T76">
        <v>360</v>
      </c>
      <c r="U76" t="s">
        <v>1251</v>
      </c>
      <c r="V76" t="s">
        <v>1252</v>
      </c>
    </row>
    <row r="77" spans="12:22">
      <c r="L77" t="s">
        <v>1248</v>
      </c>
      <c r="M77" t="s">
        <v>1247</v>
      </c>
      <c r="N77" t="s">
        <v>1253</v>
      </c>
      <c r="O77" t="s">
        <v>56</v>
      </c>
      <c r="P77" t="s">
        <v>922</v>
      </c>
      <c r="Q77" t="s">
        <v>1249</v>
      </c>
      <c r="R77" t="s">
        <v>1250</v>
      </c>
      <c r="S77" t="s">
        <v>1901</v>
      </c>
      <c r="T77">
        <v>360</v>
      </c>
      <c r="U77" t="s">
        <v>1251</v>
      </c>
      <c r="V77" t="s">
        <v>1252</v>
      </c>
    </row>
    <row r="78" spans="12:22">
      <c r="L78" t="s">
        <v>732</v>
      </c>
      <c r="M78" t="s">
        <v>695</v>
      </c>
      <c r="N78" t="s">
        <v>732</v>
      </c>
      <c r="O78" t="s">
        <v>564</v>
      </c>
      <c r="P78" t="s">
        <v>565</v>
      </c>
      <c r="Q78" t="s">
        <v>733</v>
      </c>
      <c r="R78" t="s">
        <v>734</v>
      </c>
      <c r="S78" t="s">
        <v>1789</v>
      </c>
      <c r="T78">
        <v>60</v>
      </c>
      <c r="U78" t="s">
        <v>699</v>
      </c>
      <c r="V78" t="s">
        <v>735</v>
      </c>
    </row>
    <row r="79" spans="12:22">
      <c r="L79" t="s">
        <v>732</v>
      </c>
      <c r="M79" t="s">
        <v>695</v>
      </c>
      <c r="N79" t="s">
        <v>699</v>
      </c>
      <c r="O79" t="s">
        <v>564</v>
      </c>
      <c r="P79" t="s">
        <v>565</v>
      </c>
      <c r="Q79" t="s">
        <v>733</v>
      </c>
      <c r="R79" t="s">
        <v>734</v>
      </c>
      <c r="S79" t="s">
        <v>1789</v>
      </c>
      <c r="T79">
        <v>60</v>
      </c>
      <c r="U79" t="s">
        <v>699</v>
      </c>
      <c r="V79" t="s">
        <v>735</v>
      </c>
    </row>
    <row r="80" spans="12:22">
      <c r="L80" t="s">
        <v>732</v>
      </c>
      <c r="M80" t="s">
        <v>695</v>
      </c>
      <c r="N80" t="s">
        <v>736</v>
      </c>
      <c r="O80" t="s">
        <v>564</v>
      </c>
      <c r="P80" t="s">
        <v>565</v>
      </c>
      <c r="Q80" t="s">
        <v>733</v>
      </c>
      <c r="R80" t="s">
        <v>734</v>
      </c>
      <c r="S80" t="s">
        <v>1789</v>
      </c>
      <c r="T80">
        <v>60</v>
      </c>
      <c r="U80" t="s">
        <v>699</v>
      </c>
      <c r="V80" t="s">
        <v>735</v>
      </c>
    </row>
    <row r="81" spans="12:22">
      <c r="L81" t="s">
        <v>732</v>
      </c>
      <c r="M81" t="s">
        <v>695</v>
      </c>
      <c r="N81" t="s">
        <v>701</v>
      </c>
      <c r="O81" t="s">
        <v>564</v>
      </c>
      <c r="P81" t="s">
        <v>565</v>
      </c>
      <c r="Q81" t="s">
        <v>733</v>
      </c>
      <c r="R81" t="s">
        <v>734</v>
      </c>
      <c r="S81" t="s">
        <v>1789</v>
      </c>
      <c r="T81">
        <v>60</v>
      </c>
      <c r="U81" t="s">
        <v>699</v>
      </c>
      <c r="V81" t="s">
        <v>735</v>
      </c>
    </row>
    <row r="82" spans="12:22">
      <c r="L82" t="s">
        <v>732</v>
      </c>
      <c r="M82" t="s">
        <v>695</v>
      </c>
      <c r="N82" t="s">
        <v>737</v>
      </c>
      <c r="O82" t="s">
        <v>564</v>
      </c>
      <c r="P82" t="s">
        <v>565</v>
      </c>
      <c r="Q82" t="s">
        <v>733</v>
      </c>
      <c r="R82" t="s">
        <v>734</v>
      </c>
      <c r="S82" t="s">
        <v>1789</v>
      </c>
      <c r="T82">
        <v>60</v>
      </c>
      <c r="U82" t="s">
        <v>699</v>
      </c>
      <c r="V82" t="s">
        <v>735</v>
      </c>
    </row>
    <row r="83" spans="12:22">
      <c r="L83" t="s">
        <v>593</v>
      </c>
      <c r="M83" t="s">
        <v>578</v>
      </c>
      <c r="N83" t="s">
        <v>593</v>
      </c>
      <c r="O83" t="s">
        <v>572</v>
      </c>
      <c r="P83" t="s">
        <v>573</v>
      </c>
      <c r="Q83" t="s">
        <v>648</v>
      </c>
      <c r="R83" t="s">
        <v>649</v>
      </c>
      <c r="S83" t="s">
        <v>1770</v>
      </c>
      <c r="T83">
        <v>0</v>
      </c>
      <c r="U83" t="s">
        <v>582</v>
      </c>
      <c r="V83" t="s">
        <v>650</v>
      </c>
    </row>
    <row r="84" spans="12:22">
      <c r="L84" t="s">
        <v>973</v>
      </c>
      <c r="M84" t="s">
        <v>915</v>
      </c>
      <c r="N84" t="s">
        <v>973</v>
      </c>
      <c r="O84" t="s">
        <v>564</v>
      </c>
      <c r="P84" t="s">
        <v>565</v>
      </c>
      <c r="Q84" t="s">
        <v>974</v>
      </c>
      <c r="R84" t="s">
        <v>975</v>
      </c>
      <c r="S84" t="s">
        <v>1847</v>
      </c>
      <c r="T84">
        <v>120</v>
      </c>
      <c r="U84" t="s">
        <v>919</v>
      </c>
      <c r="V84" t="s">
        <v>976</v>
      </c>
    </row>
    <row r="85" spans="12:22">
      <c r="L85" t="s">
        <v>1015</v>
      </c>
      <c r="M85" t="s">
        <v>1010</v>
      </c>
      <c r="N85" t="s">
        <v>1015</v>
      </c>
      <c r="O85" t="s">
        <v>56</v>
      </c>
      <c r="P85" t="s">
        <v>922</v>
      </c>
      <c r="Q85" t="s">
        <v>1016</v>
      </c>
      <c r="R85" t="s">
        <v>1017</v>
      </c>
      <c r="S85" t="s">
        <v>1856</v>
      </c>
      <c r="T85">
        <v>180</v>
      </c>
      <c r="U85" t="s">
        <v>336</v>
      </c>
      <c r="V85" t="s">
        <v>1018</v>
      </c>
    </row>
    <row r="86" spans="12:22">
      <c r="L86" t="s">
        <v>877</v>
      </c>
      <c r="M86" t="s">
        <v>690</v>
      </c>
      <c r="N86" t="s">
        <v>877</v>
      </c>
      <c r="O86" t="s">
        <v>572</v>
      </c>
      <c r="P86" t="s">
        <v>573</v>
      </c>
      <c r="Q86" t="s">
        <v>878</v>
      </c>
      <c r="R86" t="s">
        <v>879</v>
      </c>
      <c r="S86" t="s">
        <v>1825</v>
      </c>
      <c r="T86">
        <v>120</v>
      </c>
      <c r="U86" t="s">
        <v>693</v>
      </c>
      <c r="V86" t="s">
        <v>880</v>
      </c>
    </row>
    <row r="87" spans="12:22">
      <c r="L87" t="s">
        <v>845</v>
      </c>
      <c r="M87" t="s">
        <v>831</v>
      </c>
      <c r="N87" t="s">
        <v>845</v>
      </c>
      <c r="O87" t="s">
        <v>572</v>
      </c>
      <c r="P87" t="s">
        <v>573</v>
      </c>
      <c r="Q87" t="s">
        <v>846</v>
      </c>
      <c r="R87" t="s">
        <v>847</v>
      </c>
      <c r="S87" t="s">
        <v>1817</v>
      </c>
      <c r="T87">
        <v>60</v>
      </c>
      <c r="U87" t="s">
        <v>835</v>
      </c>
      <c r="V87" t="s">
        <v>848</v>
      </c>
    </row>
    <row r="88" spans="12:22">
      <c r="L88" t="s">
        <v>360</v>
      </c>
      <c r="M88" t="s">
        <v>332</v>
      </c>
      <c r="N88" t="s">
        <v>360</v>
      </c>
      <c r="O88" t="s">
        <v>68</v>
      </c>
      <c r="P88" t="s">
        <v>69</v>
      </c>
      <c r="Q88" t="s">
        <v>361</v>
      </c>
      <c r="R88" t="s">
        <v>362</v>
      </c>
      <c r="S88" t="s">
        <v>1716</v>
      </c>
      <c r="T88">
        <v>-240</v>
      </c>
      <c r="U88" t="s">
        <v>336</v>
      </c>
      <c r="V88" t="s">
        <v>363</v>
      </c>
    </row>
    <row r="89" spans="12:22">
      <c r="L89" t="s">
        <v>370</v>
      </c>
      <c r="M89" t="s">
        <v>332</v>
      </c>
      <c r="N89" t="s">
        <v>370</v>
      </c>
      <c r="O89" t="s">
        <v>68</v>
      </c>
      <c r="P89" t="s">
        <v>69</v>
      </c>
      <c r="Q89" t="s">
        <v>371</v>
      </c>
      <c r="R89" t="s">
        <v>372</v>
      </c>
      <c r="S89" t="s">
        <v>1718</v>
      </c>
      <c r="T89">
        <v>-240</v>
      </c>
      <c r="U89" t="s">
        <v>336</v>
      </c>
      <c r="V89" t="s">
        <v>373</v>
      </c>
    </row>
    <row r="90" spans="12:22">
      <c r="L90" t="s">
        <v>1356</v>
      </c>
      <c r="M90" t="s">
        <v>1355</v>
      </c>
      <c r="N90" t="s">
        <v>1356</v>
      </c>
      <c r="O90" t="s">
        <v>56</v>
      </c>
      <c r="P90" t="s">
        <v>922</v>
      </c>
      <c r="Q90" t="s">
        <v>1357</v>
      </c>
      <c r="R90" t="s">
        <v>1358</v>
      </c>
      <c r="S90" t="s">
        <v>1920</v>
      </c>
      <c r="T90">
        <v>480</v>
      </c>
      <c r="U90" t="s">
        <v>1359</v>
      </c>
      <c r="V90" t="s">
        <v>1360</v>
      </c>
    </row>
    <row r="91" spans="12:22">
      <c r="L91" t="s">
        <v>440</v>
      </c>
      <c r="M91" t="s">
        <v>439</v>
      </c>
      <c r="N91" t="s">
        <v>440</v>
      </c>
      <c r="O91" t="s">
        <v>223</v>
      </c>
      <c r="P91" t="s">
        <v>224</v>
      </c>
      <c r="Q91" t="s">
        <v>441</v>
      </c>
      <c r="R91" t="s">
        <v>442</v>
      </c>
      <c r="S91" t="s">
        <v>1735</v>
      </c>
      <c r="T91">
        <v>-240</v>
      </c>
      <c r="U91" t="s">
        <v>443</v>
      </c>
      <c r="V91" t="s">
        <v>444</v>
      </c>
    </row>
    <row r="92" spans="12:22">
      <c r="L92" t="s">
        <v>378</v>
      </c>
      <c r="M92" t="s">
        <v>332</v>
      </c>
      <c r="N92" t="s">
        <v>378</v>
      </c>
      <c r="O92" t="s">
        <v>68</v>
      </c>
      <c r="P92" t="s">
        <v>69</v>
      </c>
      <c r="Q92" t="s">
        <v>379</v>
      </c>
      <c r="R92" t="s">
        <v>380</v>
      </c>
      <c r="S92" t="s">
        <v>1720</v>
      </c>
      <c r="T92">
        <v>-240</v>
      </c>
      <c r="U92" t="s">
        <v>336</v>
      </c>
      <c r="V92" t="s">
        <v>381</v>
      </c>
    </row>
    <row r="93" spans="12:22">
      <c r="L93" t="s">
        <v>242</v>
      </c>
      <c r="M93" t="s">
        <v>236</v>
      </c>
      <c r="N93" t="s">
        <v>237</v>
      </c>
      <c r="O93" t="s">
        <v>223</v>
      </c>
      <c r="P93" t="s">
        <v>224</v>
      </c>
      <c r="Q93" t="s">
        <v>238</v>
      </c>
      <c r="R93" t="s">
        <v>239</v>
      </c>
      <c r="S93" t="s">
        <v>1693</v>
      </c>
      <c r="T93">
        <v>-300</v>
      </c>
      <c r="U93" t="s">
        <v>240</v>
      </c>
      <c r="V93" t="s">
        <v>241</v>
      </c>
    </row>
    <row r="94" spans="12:22">
      <c r="L94" t="s">
        <v>242</v>
      </c>
      <c r="M94" t="s">
        <v>236</v>
      </c>
      <c r="N94" t="s">
        <v>242</v>
      </c>
      <c r="O94" t="s">
        <v>223</v>
      </c>
      <c r="P94" t="s">
        <v>224</v>
      </c>
      <c r="Q94" t="s">
        <v>238</v>
      </c>
      <c r="R94" t="s">
        <v>239</v>
      </c>
      <c r="S94" t="s">
        <v>1693</v>
      </c>
      <c r="T94">
        <v>-300</v>
      </c>
      <c r="U94" t="s">
        <v>240</v>
      </c>
      <c r="V94" t="s">
        <v>241</v>
      </c>
    </row>
    <row r="95" spans="12:22">
      <c r="L95" t="s">
        <v>242</v>
      </c>
      <c r="M95" t="s">
        <v>236</v>
      </c>
      <c r="N95" t="s">
        <v>243</v>
      </c>
      <c r="O95" t="s">
        <v>223</v>
      </c>
      <c r="P95" t="s">
        <v>224</v>
      </c>
      <c r="Q95" t="s">
        <v>238</v>
      </c>
      <c r="R95" t="s">
        <v>239</v>
      </c>
      <c r="S95" t="s">
        <v>1693</v>
      </c>
      <c r="T95">
        <v>-300</v>
      </c>
      <c r="U95" t="s">
        <v>240</v>
      </c>
      <c r="V95" t="s">
        <v>241</v>
      </c>
    </row>
    <row r="96" spans="12:22">
      <c r="L96" t="s">
        <v>242</v>
      </c>
      <c r="M96" t="s">
        <v>236</v>
      </c>
      <c r="N96" t="s">
        <v>244</v>
      </c>
      <c r="O96" t="s">
        <v>223</v>
      </c>
      <c r="P96" t="s">
        <v>224</v>
      </c>
      <c r="Q96" t="s">
        <v>238</v>
      </c>
      <c r="R96" t="s">
        <v>239</v>
      </c>
      <c r="S96" t="s">
        <v>1693</v>
      </c>
      <c r="T96">
        <v>-300</v>
      </c>
      <c r="U96" t="s">
        <v>240</v>
      </c>
      <c r="V96" t="s">
        <v>241</v>
      </c>
    </row>
    <row r="97" spans="12:22">
      <c r="L97" t="s">
        <v>329</v>
      </c>
      <c r="M97" t="s">
        <v>323</v>
      </c>
      <c r="N97" t="s">
        <v>324</v>
      </c>
      <c r="O97" t="s">
        <v>223</v>
      </c>
      <c r="P97" t="s">
        <v>224</v>
      </c>
      <c r="Q97" t="s">
        <v>238</v>
      </c>
      <c r="R97" t="s">
        <v>239</v>
      </c>
      <c r="S97" t="s">
        <v>1708</v>
      </c>
      <c r="T97">
        <v>-240</v>
      </c>
      <c r="U97" t="s">
        <v>325</v>
      </c>
      <c r="V97" t="s">
        <v>326</v>
      </c>
    </row>
    <row r="98" spans="12:22">
      <c r="L98" t="s">
        <v>329</v>
      </c>
      <c r="M98" t="s">
        <v>323</v>
      </c>
      <c r="N98" t="s">
        <v>327</v>
      </c>
      <c r="O98" t="s">
        <v>223</v>
      </c>
      <c r="P98" t="s">
        <v>224</v>
      </c>
      <c r="Q98" t="s">
        <v>238</v>
      </c>
      <c r="R98" t="s">
        <v>239</v>
      </c>
      <c r="S98" t="s">
        <v>1708</v>
      </c>
      <c r="T98">
        <v>-240</v>
      </c>
      <c r="U98" t="s">
        <v>325</v>
      </c>
      <c r="V98" t="s">
        <v>326</v>
      </c>
    </row>
    <row r="99" spans="12:22">
      <c r="L99" t="s">
        <v>329</v>
      </c>
      <c r="M99" t="s">
        <v>323</v>
      </c>
      <c r="N99" t="s">
        <v>328</v>
      </c>
      <c r="O99" t="s">
        <v>223</v>
      </c>
      <c r="P99" t="s">
        <v>224</v>
      </c>
      <c r="Q99" t="s">
        <v>238</v>
      </c>
      <c r="R99" t="s">
        <v>239</v>
      </c>
      <c r="S99" t="s">
        <v>1708</v>
      </c>
      <c r="T99">
        <v>-240</v>
      </c>
      <c r="U99" t="s">
        <v>325</v>
      </c>
      <c r="V99" t="s">
        <v>326</v>
      </c>
    </row>
    <row r="100" spans="12:22">
      <c r="L100" t="s">
        <v>329</v>
      </c>
      <c r="M100" t="s">
        <v>323</v>
      </c>
      <c r="N100" t="s">
        <v>329</v>
      </c>
      <c r="O100" t="s">
        <v>223</v>
      </c>
      <c r="P100" t="s">
        <v>224</v>
      </c>
      <c r="Q100" t="s">
        <v>238</v>
      </c>
      <c r="R100" t="s">
        <v>239</v>
      </c>
      <c r="S100" t="s">
        <v>1708</v>
      </c>
      <c r="T100">
        <v>-240</v>
      </c>
      <c r="U100" t="s">
        <v>325</v>
      </c>
      <c r="V100" t="s">
        <v>326</v>
      </c>
    </row>
    <row r="101" spans="12:22">
      <c r="L101" t="s">
        <v>329</v>
      </c>
      <c r="M101" t="s">
        <v>323</v>
      </c>
      <c r="N101" t="s">
        <v>330</v>
      </c>
      <c r="O101" t="s">
        <v>223</v>
      </c>
      <c r="P101" t="s">
        <v>224</v>
      </c>
      <c r="Q101" t="s">
        <v>238</v>
      </c>
      <c r="R101" t="s">
        <v>239</v>
      </c>
      <c r="S101" t="s">
        <v>1708</v>
      </c>
      <c r="T101">
        <v>-240</v>
      </c>
      <c r="U101" t="s">
        <v>325</v>
      </c>
      <c r="V101" t="s">
        <v>326</v>
      </c>
    </row>
    <row r="102" spans="12:22">
      <c r="L102" t="s">
        <v>329</v>
      </c>
      <c r="M102" t="s">
        <v>323</v>
      </c>
      <c r="N102" t="s">
        <v>331</v>
      </c>
      <c r="O102" t="s">
        <v>223</v>
      </c>
      <c r="P102" t="s">
        <v>224</v>
      </c>
      <c r="Q102" t="s">
        <v>238</v>
      </c>
      <c r="R102" t="s">
        <v>239</v>
      </c>
      <c r="S102" t="s">
        <v>1708</v>
      </c>
      <c r="T102">
        <v>-240</v>
      </c>
      <c r="U102" t="s">
        <v>325</v>
      </c>
      <c r="V102" t="s">
        <v>326</v>
      </c>
    </row>
    <row r="103" spans="12:22">
      <c r="L103" t="s">
        <v>501</v>
      </c>
      <c r="M103" t="s">
        <v>491</v>
      </c>
      <c r="N103" t="s">
        <v>492</v>
      </c>
      <c r="O103" t="s">
        <v>223</v>
      </c>
      <c r="P103" t="s">
        <v>224</v>
      </c>
      <c r="Q103" t="s">
        <v>238</v>
      </c>
      <c r="R103" t="s">
        <v>239</v>
      </c>
      <c r="S103" t="s">
        <v>1741</v>
      </c>
      <c r="T103">
        <v>-180</v>
      </c>
      <c r="U103" t="s">
        <v>493</v>
      </c>
      <c r="V103" t="s">
        <v>494</v>
      </c>
    </row>
    <row r="104" spans="12:22">
      <c r="L104" t="s">
        <v>501</v>
      </c>
      <c r="M104" t="s">
        <v>491</v>
      </c>
      <c r="N104" t="s">
        <v>495</v>
      </c>
      <c r="O104" t="s">
        <v>223</v>
      </c>
      <c r="P104" t="s">
        <v>224</v>
      </c>
      <c r="Q104" t="s">
        <v>238</v>
      </c>
      <c r="R104" t="s">
        <v>239</v>
      </c>
      <c r="S104" t="s">
        <v>1741</v>
      </c>
      <c r="T104">
        <v>-180</v>
      </c>
      <c r="U104" t="s">
        <v>493</v>
      </c>
      <c r="V104" t="s">
        <v>494</v>
      </c>
    </row>
    <row r="105" spans="12:22">
      <c r="L105" t="s">
        <v>501</v>
      </c>
      <c r="M105" t="s">
        <v>491</v>
      </c>
      <c r="N105" t="s">
        <v>496</v>
      </c>
      <c r="O105" t="s">
        <v>223</v>
      </c>
      <c r="P105" t="s">
        <v>224</v>
      </c>
      <c r="Q105" t="s">
        <v>238</v>
      </c>
      <c r="R105" t="s">
        <v>239</v>
      </c>
      <c r="S105" t="s">
        <v>1741</v>
      </c>
      <c r="T105">
        <v>-180</v>
      </c>
      <c r="U105" t="s">
        <v>493</v>
      </c>
      <c r="V105" t="s">
        <v>494</v>
      </c>
    </row>
    <row r="106" spans="12:22">
      <c r="L106" t="s">
        <v>501</v>
      </c>
      <c r="M106" t="s">
        <v>491</v>
      </c>
      <c r="N106" t="s">
        <v>497</v>
      </c>
      <c r="O106" t="s">
        <v>223</v>
      </c>
      <c r="P106" t="s">
        <v>224</v>
      </c>
      <c r="Q106" t="s">
        <v>238</v>
      </c>
      <c r="R106" t="s">
        <v>239</v>
      </c>
      <c r="S106" t="s">
        <v>1741</v>
      </c>
      <c r="T106">
        <v>-180</v>
      </c>
      <c r="U106" t="s">
        <v>493</v>
      </c>
      <c r="V106" t="s">
        <v>494</v>
      </c>
    </row>
    <row r="107" spans="12:22">
      <c r="L107" t="s">
        <v>501</v>
      </c>
      <c r="M107" t="s">
        <v>491</v>
      </c>
      <c r="N107" t="s">
        <v>498</v>
      </c>
      <c r="O107" t="s">
        <v>223</v>
      </c>
      <c r="P107" t="s">
        <v>224</v>
      </c>
      <c r="Q107" t="s">
        <v>238</v>
      </c>
      <c r="R107" t="s">
        <v>239</v>
      </c>
      <c r="S107" t="s">
        <v>1741</v>
      </c>
      <c r="T107">
        <v>-180</v>
      </c>
      <c r="U107" t="s">
        <v>493</v>
      </c>
      <c r="V107" t="s">
        <v>494</v>
      </c>
    </row>
    <row r="108" spans="12:22">
      <c r="L108" t="s">
        <v>501</v>
      </c>
      <c r="M108" t="s">
        <v>491</v>
      </c>
      <c r="N108" t="s">
        <v>499</v>
      </c>
      <c r="O108" t="s">
        <v>223</v>
      </c>
      <c r="P108" t="s">
        <v>224</v>
      </c>
      <c r="Q108" t="s">
        <v>238</v>
      </c>
      <c r="R108" t="s">
        <v>239</v>
      </c>
      <c r="S108" t="s">
        <v>1741</v>
      </c>
      <c r="T108">
        <v>-180</v>
      </c>
      <c r="U108" t="s">
        <v>493</v>
      </c>
      <c r="V108" t="s">
        <v>494</v>
      </c>
    </row>
    <row r="109" spans="12:22">
      <c r="L109" t="s">
        <v>501</v>
      </c>
      <c r="M109" t="s">
        <v>491</v>
      </c>
      <c r="N109" t="s">
        <v>500</v>
      </c>
      <c r="O109" t="s">
        <v>223</v>
      </c>
      <c r="P109" t="s">
        <v>224</v>
      </c>
      <c r="Q109" t="s">
        <v>238</v>
      </c>
      <c r="R109" t="s">
        <v>239</v>
      </c>
      <c r="S109" t="s">
        <v>1741</v>
      </c>
      <c r="T109">
        <v>-180</v>
      </c>
      <c r="U109" t="s">
        <v>493</v>
      </c>
      <c r="V109" t="s">
        <v>494</v>
      </c>
    </row>
    <row r="110" spans="12:22">
      <c r="L110" t="s">
        <v>501</v>
      </c>
      <c r="M110" t="s">
        <v>491</v>
      </c>
      <c r="N110" t="s">
        <v>501</v>
      </c>
      <c r="O110" t="s">
        <v>223</v>
      </c>
      <c r="P110" t="s">
        <v>224</v>
      </c>
      <c r="Q110" t="s">
        <v>238</v>
      </c>
      <c r="R110" t="s">
        <v>239</v>
      </c>
      <c r="S110" t="s">
        <v>1741</v>
      </c>
      <c r="T110">
        <v>-180</v>
      </c>
      <c r="U110" t="s">
        <v>493</v>
      </c>
      <c r="V110" t="s">
        <v>494</v>
      </c>
    </row>
    <row r="111" spans="12:22">
      <c r="L111" t="s">
        <v>501</v>
      </c>
      <c r="M111" t="s">
        <v>491</v>
      </c>
      <c r="N111" t="s">
        <v>502</v>
      </c>
      <c r="O111" t="s">
        <v>223</v>
      </c>
      <c r="P111" t="s">
        <v>224</v>
      </c>
      <c r="Q111" t="s">
        <v>238</v>
      </c>
      <c r="R111" t="s">
        <v>239</v>
      </c>
      <c r="S111" t="s">
        <v>1741</v>
      </c>
      <c r="T111">
        <v>-180</v>
      </c>
      <c r="U111" t="s">
        <v>493</v>
      </c>
      <c r="V111" t="s">
        <v>494</v>
      </c>
    </row>
    <row r="112" spans="12:22">
      <c r="L112" t="s">
        <v>552</v>
      </c>
      <c r="M112" t="s">
        <v>551</v>
      </c>
      <c r="N112" t="s">
        <v>552</v>
      </c>
      <c r="O112" t="s">
        <v>223</v>
      </c>
      <c r="P112" t="s">
        <v>224</v>
      </c>
      <c r="Q112" t="s">
        <v>238</v>
      </c>
      <c r="R112" t="s">
        <v>239</v>
      </c>
      <c r="S112" t="s">
        <v>1751</v>
      </c>
      <c r="T112">
        <v>-120</v>
      </c>
      <c r="U112" t="s">
        <v>553</v>
      </c>
      <c r="V112" t="s">
        <v>554</v>
      </c>
    </row>
    <row r="113" spans="12:22">
      <c r="L113" t="s">
        <v>552</v>
      </c>
      <c r="M113" t="s">
        <v>551</v>
      </c>
      <c r="N113" t="s">
        <v>555</v>
      </c>
      <c r="O113" t="s">
        <v>223</v>
      </c>
      <c r="P113" t="s">
        <v>224</v>
      </c>
      <c r="Q113" t="s">
        <v>238</v>
      </c>
      <c r="R113" t="s">
        <v>239</v>
      </c>
      <c r="S113" t="s">
        <v>1751</v>
      </c>
      <c r="T113">
        <v>-120</v>
      </c>
      <c r="U113" t="s">
        <v>553</v>
      </c>
      <c r="V113" t="s">
        <v>554</v>
      </c>
    </row>
    <row r="114" spans="12:22">
      <c r="L114" t="s">
        <v>274</v>
      </c>
      <c r="M114" t="s">
        <v>256</v>
      </c>
      <c r="N114" t="s">
        <v>274</v>
      </c>
      <c r="O114" t="s">
        <v>68</v>
      </c>
      <c r="P114" t="s">
        <v>69</v>
      </c>
      <c r="Q114" t="s">
        <v>275</v>
      </c>
      <c r="R114" t="s">
        <v>276</v>
      </c>
      <c r="S114" t="s">
        <v>1701</v>
      </c>
      <c r="T114">
        <v>-300</v>
      </c>
      <c r="U114" t="s">
        <v>258</v>
      </c>
      <c r="V114" t="s">
        <v>277</v>
      </c>
    </row>
    <row r="115" spans="12:22">
      <c r="L115" t="s">
        <v>1255</v>
      </c>
      <c r="M115" t="s">
        <v>1254</v>
      </c>
      <c r="N115" t="s">
        <v>1255</v>
      </c>
      <c r="O115" t="s">
        <v>56</v>
      </c>
      <c r="P115" t="s">
        <v>922</v>
      </c>
      <c r="Q115" t="s">
        <v>1256</v>
      </c>
      <c r="R115" t="s">
        <v>1257</v>
      </c>
      <c r="S115" t="s">
        <v>1902</v>
      </c>
      <c r="T115">
        <v>360</v>
      </c>
      <c r="U115" t="s">
        <v>1258</v>
      </c>
      <c r="V115" t="s">
        <v>1259</v>
      </c>
    </row>
    <row r="116" spans="12:22">
      <c r="L116" t="s">
        <v>1255</v>
      </c>
      <c r="M116" t="s">
        <v>1254</v>
      </c>
      <c r="N116" t="s">
        <v>1260</v>
      </c>
      <c r="O116" t="s">
        <v>56</v>
      </c>
      <c r="P116" t="s">
        <v>922</v>
      </c>
      <c r="Q116" t="s">
        <v>1256</v>
      </c>
      <c r="R116" t="s">
        <v>1257</v>
      </c>
      <c r="S116" t="s">
        <v>1902</v>
      </c>
      <c r="T116">
        <v>360</v>
      </c>
      <c r="U116" t="s">
        <v>1258</v>
      </c>
      <c r="V116" t="s">
        <v>1259</v>
      </c>
    </row>
    <row r="117" spans="12:22">
      <c r="L117" t="s">
        <v>881</v>
      </c>
      <c r="M117" t="s">
        <v>690</v>
      </c>
      <c r="N117" t="s">
        <v>881</v>
      </c>
      <c r="O117" t="s">
        <v>572</v>
      </c>
      <c r="P117" t="s">
        <v>573</v>
      </c>
      <c r="Q117" t="s">
        <v>882</v>
      </c>
      <c r="R117" t="s">
        <v>883</v>
      </c>
      <c r="S117" t="s">
        <v>1826</v>
      </c>
      <c r="T117">
        <v>120</v>
      </c>
      <c r="U117" t="s">
        <v>693</v>
      </c>
      <c r="V117" t="s">
        <v>884</v>
      </c>
    </row>
    <row r="118" spans="12:22">
      <c r="L118" t="s">
        <v>1087</v>
      </c>
      <c r="M118" t="s">
        <v>1086</v>
      </c>
      <c r="N118" t="s">
        <v>1087</v>
      </c>
      <c r="O118" t="s">
        <v>564</v>
      </c>
      <c r="P118" t="s">
        <v>565</v>
      </c>
      <c r="Q118" t="s">
        <v>1088</v>
      </c>
      <c r="R118" t="s">
        <v>1089</v>
      </c>
      <c r="S118" t="s">
        <v>1873</v>
      </c>
      <c r="T118">
        <v>180</v>
      </c>
      <c r="U118" t="s">
        <v>1090</v>
      </c>
      <c r="V118" t="s">
        <v>1091</v>
      </c>
    </row>
    <row r="119" spans="12:22">
      <c r="L119" t="s">
        <v>164</v>
      </c>
      <c r="M119" t="s">
        <v>163</v>
      </c>
      <c r="N119" t="s">
        <v>164</v>
      </c>
      <c r="O119" t="s">
        <v>68</v>
      </c>
      <c r="P119" t="s">
        <v>69</v>
      </c>
      <c r="Q119" t="s">
        <v>165</v>
      </c>
      <c r="R119" t="s">
        <v>166</v>
      </c>
      <c r="S119" t="s">
        <v>1680</v>
      </c>
      <c r="T119">
        <v>-360</v>
      </c>
      <c r="U119" t="s">
        <v>167</v>
      </c>
      <c r="V119" t="s">
        <v>168</v>
      </c>
    </row>
    <row r="120" spans="12:22">
      <c r="L120" t="s">
        <v>118</v>
      </c>
      <c r="M120" t="s">
        <v>105</v>
      </c>
      <c r="N120" t="s">
        <v>118</v>
      </c>
      <c r="O120" t="s">
        <v>68</v>
      </c>
      <c r="P120" t="s">
        <v>69</v>
      </c>
      <c r="Q120" t="s">
        <v>119</v>
      </c>
      <c r="R120" t="s">
        <v>120</v>
      </c>
      <c r="S120" t="s">
        <v>1672</v>
      </c>
      <c r="T120">
        <v>-480</v>
      </c>
      <c r="U120" t="s">
        <v>107</v>
      </c>
      <c r="V120" t="s">
        <v>121</v>
      </c>
    </row>
    <row r="121" spans="12:22">
      <c r="L121" t="s">
        <v>118</v>
      </c>
      <c r="M121" t="s">
        <v>105</v>
      </c>
      <c r="N121" t="s">
        <v>122</v>
      </c>
      <c r="O121" t="s">
        <v>68</v>
      </c>
      <c r="P121" t="s">
        <v>69</v>
      </c>
      <c r="Q121" t="s">
        <v>119</v>
      </c>
      <c r="R121" t="s">
        <v>120</v>
      </c>
      <c r="S121" t="s">
        <v>1672</v>
      </c>
      <c r="T121">
        <v>-480</v>
      </c>
      <c r="U121" t="s">
        <v>107</v>
      </c>
      <c r="V121" t="s">
        <v>121</v>
      </c>
    </row>
    <row r="122" spans="12:22">
      <c r="L122" t="s">
        <v>138</v>
      </c>
      <c r="M122" t="s">
        <v>134</v>
      </c>
      <c r="N122" t="s">
        <v>135</v>
      </c>
      <c r="O122" t="s">
        <v>68</v>
      </c>
      <c r="P122" t="s">
        <v>69</v>
      </c>
      <c r="Q122" t="s">
        <v>119</v>
      </c>
      <c r="R122" t="s">
        <v>120</v>
      </c>
      <c r="S122" t="s">
        <v>1675</v>
      </c>
      <c r="T122">
        <v>-420</v>
      </c>
      <c r="U122" t="s">
        <v>136</v>
      </c>
      <c r="V122" t="s">
        <v>137</v>
      </c>
    </row>
    <row r="123" spans="12:22">
      <c r="L123" t="s">
        <v>138</v>
      </c>
      <c r="M123" t="s">
        <v>134</v>
      </c>
      <c r="N123" t="s">
        <v>138</v>
      </c>
      <c r="O123" t="s">
        <v>68</v>
      </c>
      <c r="P123" t="s">
        <v>69</v>
      </c>
      <c r="Q123" t="s">
        <v>119</v>
      </c>
      <c r="R123" t="s">
        <v>120</v>
      </c>
      <c r="S123" t="s">
        <v>1675</v>
      </c>
      <c r="T123">
        <v>-420</v>
      </c>
      <c r="U123" t="s">
        <v>136</v>
      </c>
      <c r="V123" t="s">
        <v>137</v>
      </c>
    </row>
    <row r="124" spans="12:22">
      <c r="L124" t="s">
        <v>138</v>
      </c>
      <c r="M124" t="s">
        <v>134</v>
      </c>
      <c r="N124" t="s">
        <v>139</v>
      </c>
      <c r="O124" t="s">
        <v>68</v>
      </c>
      <c r="P124" t="s">
        <v>69</v>
      </c>
      <c r="Q124" t="s">
        <v>119</v>
      </c>
      <c r="R124" t="s">
        <v>120</v>
      </c>
      <c r="S124" t="s">
        <v>1675</v>
      </c>
      <c r="T124">
        <v>-420</v>
      </c>
      <c r="U124" t="s">
        <v>136</v>
      </c>
      <c r="V124" t="s">
        <v>137</v>
      </c>
    </row>
    <row r="125" spans="12:22">
      <c r="L125" t="s">
        <v>138</v>
      </c>
      <c r="M125" t="s">
        <v>134</v>
      </c>
      <c r="N125" t="s">
        <v>140</v>
      </c>
      <c r="O125" t="s">
        <v>68</v>
      </c>
      <c r="P125" t="s">
        <v>69</v>
      </c>
      <c r="Q125" t="s">
        <v>119</v>
      </c>
      <c r="R125" t="s">
        <v>120</v>
      </c>
      <c r="S125" t="s">
        <v>1675</v>
      </c>
      <c r="T125">
        <v>-420</v>
      </c>
      <c r="U125" t="s">
        <v>136</v>
      </c>
      <c r="V125" t="s">
        <v>137</v>
      </c>
    </row>
    <row r="126" spans="12:22">
      <c r="L126" t="s">
        <v>138</v>
      </c>
      <c r="M126" t="s">
        <v>134</v>
      </c>
      <c r="N126" t="s">
        <v>141</v>
      </c>
      <c r="O126" t="s">
        <v>68</v>
      </c>
      <c r="P126" t="s">
        <v>69</v>
      </c>
      <c r="Q126" t="s">
        <v>119</v>
      </c>
      <c r="R126" t="s">
        <v>120</v>
      </c>
      <c r="S126" t="s">
        <v>1675</v>
      </c>
      <c r="T126">
        <v>-420</v>
      </c>
      <c r="U126" t="s">
        <v>136</v>
      </c>
      <c r="V126" t="s">
        <v>137</v>
      </c>
    </row>
    <row r="127" spans="12:22">
      <c r="L127" t="s">
        <v>161</v>
      </c>
      <c r="M127" t="s">
        <v>155</v>
      </c>
      <c r="N127" t="s">
        <v>154</v>
      </c>
      <c r="O127" t="s">
        <v>68</v>
      </c>
      <c r="P127" t="s">
        <v>69</v>
      </c>
      <c r="Q127" t="s">
        <v>119</v>
      </c>
      <c r="R127" t="s">
        <v>120</v>
      </c>
      <c r="S127" t="s">
        <v>1679</v>
      </c>
      <c r="T127">
        <v>-420</v>
      </c>
      <c r="U127" t="s">
        <v>156</v>
      </c>
      <c r="V127" t="s">
        <v>157</v>
      </c>
    </row>
    <row r="128" spans="12:22">
      <c r="L128" t="s">
        <v>161</v>
      </c>
      <c r="M128" t="s">
        <v>155</v>
      </c>
      <c r="N128" t="s">
        <v>158</v>
      </c>
      <c r="O128" t="s">
        <v>68</v>
      </c>
      <c r="P128" t="s">
        <v>69</v>
      </c>
      <c r="Q128" t="s">
        <v>119</v>
      </c>
      <c r="R128" t="s">
        <v>120</v>
      </c>
      <c r="S128" t="s">
        <v>1679</v>
      </c>
      <c r="T128">
        <v>-420</v>
      </c>
      <c r="U128" t="s">
        <v>156</v>
      </c>
      <c r="V128" t="s">
        <v>157</v>
      </c>
    </row>
    <row r="129" spans="12:22">
      <c r="L129" t="s">
        <v>161</v>
      </c>
      <c r="M129" t="s">
        <v>155</v>
      </c>
      <c r="N129" t="s">
        <v>159</v>
      </c>
      <c r="O129" t="s">
        <v>68</v>
      </c>
      <c r="P129" t="s">
        <v>69</v>
      </c>
      <c r="Q129" t="s">
        <v>119</v>
      </c>
      <c r="R129" t="s">
        <v>120</v>
      </c>
      <c r="S129" t="s">
        <v>1679</v>
      </c>
      <c r="T129">
        <v>-420</v>
      </c>
      <c r="U129" t="s">
        <v>156</v>
      </c>
      <c r="V129" t="s">
        <v>157</v>
      </c>
    </row>
    <row r="130" spans="12:22">
      <c r="L130" t="s">
        <v>161</v>
      </c>
      <c r="M130" t="s">
        <v>155</v>
      </c>
      <c r="N130" t="s">
        <v>160</v>
      </c>
      <c r="O130" t="s">
        <v>68</v>
      </c>
      <c r="P130" t="s">
        <v>69</v>
      </c>
      <c r="Q130" t="s">
        <v>119</v>
      </c>
      <c r="R130" t="s">
        <v>120</v>
      </c>
      <c r="S130" t="s">
        <v>1679</v>
      </c>
      <c r="T130">
        <v>-420</v>
      </c>
      <c r="U130" t="s">
        <v>156</v>
      </c>
      <c r="V130" t="s">
        <v>157</v>
      </c>
    </row>
    <row r="131" spans="12:22">
      <c r="L131" t="s">
        <v>161</v>
      </c>
      <c r="M131" t="s">
        <v>155</v>
      </c>
      <c r="N131" t="s">
        <v>161</v>
      </c>
      <c r="O131" t="s">
        <v>68</v>
      </c>
      <c r="P131" t="s">
        <v>69</v>
      </c>
      <c r="Q131" t="s">
        <v>119</v>
      </c>
      <c r="R131" t="s">
        <v>120</v>
      </c>
      <c r="S131" t="s">
        <v>1679</v>
      </c>
      <c r="T131">
        <v>-420</v>
      </c>
      <c r="U131" t="s">
        <v>156</v>
      </c>
      <c r="V131" t="s">
        <v>157</v>
      </c>
    </row>
    <row r="132" spans="12:22">
      <c r="L132" t="s">
        <v>161</v>
      </c>
      <c r="M132" t="s">
        <v>155</v>
      </c>
      <c r="N132" t="s">
        <v>162</v>
      </c>
      <c r="O132" t="s">
        <v>68</v>
      </c>
      <c r="P132" t="s">
        <v>69</v>
      </c>
      <c r="Q132" t="s">
        <v>119</v>
      </c>
      <c r="R132" t="s">
        <v>120</v>
      </c>
      <c r="S132" t="s">
        <v>1679</v>
      </c>
      <c r="T132">
        <v>-420</v>
      </c>
      <c r="U132" t="s">
        <v>156</v>
      </c>
      <c r="V132" t="s">
        <v>157</v>
      </c>
    </row>
    <row r="133" spans="12:22">
      <c r="L133" t="s">
        <v>207</v>
      </c>
      <c r="M133" t="s">
        <v>163</v>
      </c>
      <c r="N133" t="s">
        <v>207</v>
      </c>
      <c r="O133" t="s">
        <v>68</v>
      </c>
      <c r="P133" t="s">
        <v>69</v>
      </c>
      <c r="Q133" t="s">
        <v>119</v>
      </c>
      <c r="R133" t="s">
        <v>120</v>
      </c>
      <c r="S133" t="s">
        <v>1688</v>
      </c>
      <c r="T133">
        <v>-360</v>
      </c>
      <c r="U133" t="s">
        <v>167</v>
      </c>
      <c r="V133" t="s">
        <v>208</v>
      </c>
    </row>
    <row r="134" spans="12:22">
      <c r="L134" t="s">
        <v>207</v>
      </c>
      <c r="M134" t="s">
        <v>163</v>
      </c>
      <c r="N134" t="s">
        <v>209</v>
      </c>
      <c r="O134" t="s">
        <v>68</v>
      </c>
      <c r="P134" t="s">
        <v>69</v>
      </c>
      <c r="Q134" t="s">
        <v>119</v>
      </c>
      <c r="R134" t="s">
        <v>120</v>
      </c>
      <c r="S134" t="s">
        <v>1688</v>
      </c>
      <c r="T134">
        <v>-360</v>
      </c>
      <c r="U134" t="s">
        <v>167</v>
      </c>
      <c r="V134" t="s">
        <v>208</v>
      </c>
    </row>
    <row r="135" spans="12:22">
      <c r="L135" t="s">
        <v>207</v>
      </c>
      <c r="M135" t="s">
        <v>163</v>
      </c>
      <c r="N135" t="s">
        <v>210</v>
      </c>
      <c r="O135" t="s">
        <v>68</v>
      </c>
      <c r="P135" t="s">
        <v>69</v>
      </c>
      <c r="Q135" t="s">
        <v>119</v>
      </c>
      <c r="R135" t="s">
        <v>120</v>
      </c>
      <c r="S135" t="s">
        <v>1688</v>
      </c>
      <c r="T135">
        <v>-360</v>
      </c>
      <c r="U135" t="s">
        <v>167</v>
      </c>
      <c r="V135" t="s">
        <v>208</v>
      </c>
    </row>
    <row r="136" spans="12:22">
      <c r="L136" t="s">
        <v>218</v>
      </c>
      <c r="M136" t="s">
        <v>163</v>
      </c>
      <c r="N136" t="s">
        <v>215</v>
      </c>
      <c r="O136" t="s">
        <v>68</v>
      </c>
      <c r="P136" t="s">
        <v>69</v>
      </c>
      <c r="Q136" t="s">
        <v>119</v>
      </c>
      <c r="R136" t="s">
        <v>120</v>
      </c>
      <c r="S136" t="s">
        <v>1690</v>
      </c>
      <c r="T136">
        <v>-360</v>
      </c>
      <c r="U136" t="s">
        <v>167</v>
      </c>
      <c r="V136" t="s">
        <v>216</v>
      </c>
    </row>
    <row r="137" spans="12:22">
      <c r="L137" t="s">
        <v>218</v>
      </c>
      <c r="M137" t="s">
        <v>163</v>
      </c>
      <c r="N137" t="s">
        <v>217</v>
      </c>
      <c r="O137" t="s">
        <v>68</v>
      </c>
      <c r="P137" t="s">
        <v>69</v>
      </c>
      <c r="Q137" t="s">
        <v>119</v>
      </c>
      <c r="R137" t="s">
        <v>120</v>
      </c>
      <c r="S137" t="s">
        <v>1690</v>
      </c>
      <c r="T137">
        <v>-360</v>
      </c>
      <c r="U137" t="s">
        <v>167</v>
      </c>
      <c r="V137" t="s">
        <v>216</v>
      </c>
    </row>
    <row r="138" spans="12:22">
      <c r="L138" t="s">
        <v>218</v>
      </c>
      <c r="M138" t="s">
        <v>163</v>
      </c>
      <c r="N138" t="s">
        <v>218</v>
      </c>
      <c r="O138" t="s">
        <v>68</v>
      </c>
      <c r="P138" t="s">
        <v>69</v>
      </c>
      <c r="Q138" t="s">
        <v>119</v>
      </c>
      <c r="R138" t="s">
        <v>120</v>
      </c>
      <c r="S138" t="s">
        <v>1690</v>
      </c>
      <c r="T138">
        <v>-360</v>
      </c>
      <c r="U138" t="s">
        <v>167</v>
      </c>
      <c r="V138" t="s">
        <v>216</v>
      </c>
    </row>
    <row r="139" spans="12:22">
      <c r="L139" t="s">
        <v>218</v>
      </c>
      <c r="M139" t="s">
        <v>163</v>
      </c>
      <c r="N139" t="s">
        <v>219</v>
      </c>
      <c r="O139" t="s">
        <v>68</v>
      </c>
      <c r="P139" t="s">
        <v>69</v>
      </c>
      <c r="Q139" t="s">
        <v>119</v>
      </c>
      <c r="R139" t="s">
        <v>120</v>
      </c>
      <c r="S139" t="s">
        <v>1690</v>
      </c>
      <c r="T139">
        <v>-360</v>
      </c>
      <c r="U139" t="s">
        <v>167</v>
      </c>
      <c r="V139" t="s">
        <v>216</v>
      </c>
    </row>
    <row r="140" spans="12:22">
      <c r="L140" t="s">
        <v>218</v>
      </c>
      <c r="M140" t="s">
        <v>163</v>
      </c>
      <c r="N140" t="s">
        <v>220</v>
      </c>
      <c r="O140" t="s">
        <v>68</v>
      </c>
      <c r="P140" t="s">
        <v>69</v>
      </c>
      <c r="Q140" t="s">
        <v>119</v>
      </c>
      <c r="R140" t="s">
        <v>120</v>
      </c>
      <c r="S140" t="s">
        <v>1690</v>
      </c>
      <c r="T140">
        <v>-360</v>
      </c>
      <c r="U140" t="s">
        <v>167</v>
      </c>
      <c r="V140" t="s">
        <v>216</v>
      </c>
    </row>
    <row r="141" spans="12:22">
      <c r="L141" t="s">
        <v>257</v>
      </c>
      <c r="M141" t="s">
        <v>256</v>
      </c>
      <c r="N141" t="s">
        <v>257</v>
      </c>
      <c r="O141" t="s">
        <v>68</v>
      </c>
      <c r="P141" t="s">
        <v>69</v>
      </c>
      <c r="Q141" t="s">
        <v>119</v>
      </c>
      <c r="R141" t="s">
        <v>120</v>
      </c>
      <c r="S141" t="s">
        <v>1696</v>
      </c>
      <c r="T141">
        <v>-300</v>
      </c>
      <c r="U141" t="s">
        <v>258</v>
      </c>
      <c r="V141" t="s">
        <v>259</v>
      </c>
    </row>
    <row r="142" spans="12:22">
      <c r="L142" t="s">
        <v>307</v>
      </c>
      <c r="M142" t="s">
        <v>256</v>
      </c>
      <c r="N142" t="s">
        <v>305</v>
      </c>
      <c r="O142" t="s">
        <v>68</v>
      </c>
      <c r="P142" t="s">
        <v>69</v>
      </c>
      <c r="Q142" t="s">
        <v>119</v>
      </c>
      <c r="R142" t="s">
        <v>120</v>
      </c>
      <c r="S142" t="s">
        <v>1705</v>
      </c>
      <c r="T142">
        <v>-300</v>
      </c>
      <c r="U142" t="s">
        <v>258</v>
      </c>
      <c r="V142" t="s">
        <v>306</v>
      </c>
    </row>
    <row r="143" spans="12:22">
      <c r="L143" t="s">
        <v>307</v>
      </c>
      <c r="M143" t="s">
        <v>256</v>
      </c>
      <c r="N143" t="s">
        <v>307</v>
      </c>
      <c r="O143" t="s">
        <v>68</v>
      </c>
      <c r="P143" t="s">
        <v>69</v>
      </c>
      <c r="Q143" t="s">
        <v>119</v>
      </c>
      <c r="R143" t="s">
        <v>120</v>
      </c>
      <c r="S143" t="s">
        <v>1705</v>
      </c>
      <c r="T143">
        <v>-300</v>
      </c>
      <c r="U143" t="s">
        <v>258</v>
      </c>
      <c r="V143" t="s">
        <v>306</v>
      </c>
    </row>
    <row r="144" spans="12:22">
      <c r="L144" t="s">
        <v>307</v>
      </c>
      <c r="M144" t="s">
        <v>256</v>
      </c>
      <c r="N144" t="s">
        <v>308</v>
      </c>
      <c r="O144" t="s">
        <v>68</v>
      </c>
      <c r="P144" t="s">
        <v>69</v>
      </c>
      <c r="Q144" t="s">
        <v>119</v>
      </c>
      <c r="R144" t="s">
        <v>120</v>
      </c>
      <c r="S144" t="s">
        <v>1705</v>
      </c>
      <c r="T144">
        <v>-300</v>
      </c>
      <c r="U144" t="s">
        <v>258</v>
      </c>
      <c r="V144" t="s">
        <v>306</v>
      </c>
    </row>
    <row r="145" spans="12:22">
      <c r="L145" t="s">
        <v>307</v>
      </c>
      <c r="M145" t="s">
        <v>256</v>
      </c>
      <c r="N145" t="s">
        <v>309</v>
      </c>
      <c r="O145" t="s">
        <v>68</v>
      </c>
      <c r="P145" t="s">
        <v>69</v>
      </c>
      <c r="Q145" t="s">
        <v>119</v>
      </c>
      <c r="R145" t="s">
        <v>120</v>
      </c>
      <c r="S145" t="s">
        <v>1705</v>
      </c>
      <c r="T145">
        <v>-300</v>
      </c>
      <c r="U145" t="s">
        <v>258</v>
      </c>
      <c r="V145" t="s">
        <v>306</v>
      </c>
    </row>
    <row r="146" spans="12:22">
      <c r="L146" t="s">
        <v>307</v>
      </c>
      <c r="M146" t="s">
        <v>256</v>
      </c>
      <c r="N146" t="s">
        <v>274</v>
      </c>
      <c r="O146" t="s">
        <v>68</v>
      </c>
      <c r="P146" t="s">
        <v>69</v>
      </c>
      <c r="Q146" t="s">
        <v>119</v>
      </c>
      <c r="R146" t="s">
        <v>120</v>
      </c>
      <c r="S146" t="s">
        <v>1705</v>
      </c>
      <c r="T146">
        <v>-300</v>
      </c>
      <c r="U146" t="s">
        <v>258</v>
      </c>
      <c r="V146" t="s">
        <v>306</v>
      </c>
    </row>
    <row r="147" spans="12:22">
      <c r="L147" t="s">
        <v>307</v>
      </c>
      <c r="M147" t="s">
        <v>256</v>
      </c>
      <c r="N147" t="s">
        <v>310</v>
      </c>
      <c r="O147" t="s">
        <v>68</v>
      </c>
      <c r="P147" t="s">
        <v>69</v>
      </c>
      <c r="Q147" t="s">
        <v>119</v>
      </c>
      <c r="R147" t="s">
        <v>120</v>
      </c>
      <c r="S147" t="s">
        <v>1705</v>
      </c>
      <c r="T147">
        <v>-300</v>
      </c>
      <c r="U147" t="s">
        <v>258</v>
      </c>
      <c r="V147" t="s">
        <v>306</v>
      </c>
    </row>
    <row r="148" spans="12:22">
      <c r="L148" t="s">
        <v>307</v>
      </c>
      <c r="M148" t="s">
        <v>256</v>
      </c>
      <c r="N148" t="s">
        <v>311</v>
      </c>
      <c r="O148" t="s">
        <v>68</v>
      </c>
      <c r="P148" t="s">
        <v>69</v>
      </c>
      <c r="Q148" t="s">
        <v>119</v>
      </c>
      <c r="R148" t="s">
        <v>120</v>
      </c>
      <c r="S148" t="s">
        <v>1705</v>
      </c>
      <c r="T148">
        <v>-300</v>
      </c>
      <c r="U148" t="s">
        <v>258</v>
      </c>
      <c r="V148" t="s">
        <v>306</v>
      </c>
    </row>
    <row r="149" spans="12:22">
      <c r="L149" t="s">
        <v>307</v>
      </c>
      <c r="M149" t="s">
        <v>256</v>
      </c>
      <c r="N149" t="s">
        <v>312</v>
      </c>
      <c r="O149" t="s">
        <v>68</v>
      </c>
      <c r="P149" t="s">
        <v>69</v>
      </c>
      <c r="Q149" t="s">
        <v>119</v>
      </c>
      <c r="R149" t="s">
        <v>120</v>
      </c>
      <c r="S149" t="s">
        <v>1705</v>
      </c>
      <c r="T149">
        <v>-300</v>
      </c>
      <c r="U149" t="s">
        <v>258</v>
      </c>
      <c r="V149" t="s">
        <v>306</v>
      </c>
    </row>
    <row r="150" spans="12:22">
      <c r="L150" t="s">
        <v>338</v>
      </c>
      <c r="M150" t="s">
        <v>332</v>
      </c>
      <c r="N150" t="s">
        <v>338</v>
      </c>
      <c r="O150" t="s">
        <v>68</v>
      </c>
      <c r="P150" t="s">
        <v>69</v>
      </c>
      <c r="Q150" t="s">
        <v>119</v>
      </c>
      <c r="R150" t="s">
        <v>120</v>
      </c>
      <c r="S150" t="s">
        <v>1710</v>
      </c>
      <c r="T150">
        <v>-240</v>
      </c>
      <c r="U150" t="s">
        <v>336</v>
      </c>
      <c r="V150" t="s">
        <v>339</v>
      </c>
    </row>
    <row r="151" spans="12:22">
      <c r="L151" t="s">
        <v>367</v>
      </c>
      <c r="M151" t="s">
        <v>332</v>
      </c>
      <c r="N151" t="s">
        <v>364</v>
      </c>
      <c r="O151" t="s">
        <v>68</v>
      </c>
      <c r="P151" t="s">
        <v>69</v>
      </c>
      <c r="Q151" t="s">
        <v>119</v>
      </c>
      <c r="R151" t="s">
        <v>120</v>
      </c>
      <c r="S151" t="s">
        <v>1717</v>
      </c>
      <c r="T151">
        <v>-240</v>
      </c>
      <c r="U151" t="s">
        <v>336</v>
      </c>
      <c r="V151" t="s">
        <v>365</v>
      </c>
    </row>
    <row r="152" spans="12:22">
      <c r="L152" t="s">
        <v>367</v>
      </c>
      <c r="M152" t="s">
        <v>332</v>
      </c>
      <c r="N152" t="s">
        <v>366</v>
      </c>
      <c r="O152" t="s">
        <v>68</v>
      </c>
      <c r="P152" t="s">
        <v>69</v>
      </c>
      <c r="Q152" t="s">
        <v>119</v>
      </c>
      <c r="R152" t="s">
        <v>120</v>
      </c>
      <c r="S152" t="s">
        <v>1717</v>
      </c>
      <c r="T152">
        <v>-240</v>
      </c>
      <c r="U152" t="s">
        <v>336</v>
      </c>
      <c r="V152" t="s">
        <v>365</v>
      </c>
    </row>
    <row r="153" spans="12:22">
      <c r="L153" t="s">
        <v>367</v>
      </c>
      <c r="M153" t="s">
        <v>332</v>
      </c>
      <c r="N153" t="s">
        <v>367</v>
      </c>
      <c r="O153" t="s">
        <v>68</v>
      </c>
      <c r="P153" t="s">
        <v>69</v>
      </c>
      <c r="Q153" t="s">
        <v>119</v>
      </c>
      <c r="R153" t="s">
        <v>120</v>
      </c>
      <c r="S153" t="s">
        <v>1717</v>
      </c>
      <c r="T153">
        <v>-240</v>
      </c>
      <c r="U153" t="s">
        <v>336</v>
      </c>
      <c r="V153" t="s">
        <v>365</v>
      </c>
    </row>
    <row r="154" spans="12:22">
      <c r="L154" t="s">
        <v>367</v>
      </c>
      <c r="M154" t="s">
        <v>332</v>
      </c>
      <c r="N154" t="s">
        <v>368</v>
      </c>
      <c r="O154" t="s">
        <v>68</v>
      </c>
      <c r="P154" t="s">
        <v>69</v>
      </c>
      <c r="Q154" t="s">
        <v>119</v>
      </c>
      <c r="R154" t="s">
        <v>120</v>
      </c>
      <c r="S154" t="s">
        <v>1717</v>
      </c>
      <c r="T154">
        <v>-240</v>
      </c>
      <c r="U154" t="s">
        <v>336</v>
      </c>
      <c r="V154" t="s">
        <v>365</v>
      </c>
    </row>
    <row r="155" spans="12:22">
      <c r="L155" t="s">
        <v>367</v>
      </c>
      <c r="M155" t="s">
        <v>332</v>
      </c>
      <c r="N155" t="s">
        <v>369</v>
      </c>
      <c r="O155" t="s">
        <v>68</v>
      </c>
      <c r="P155" t="s">
        <v>69</v>
      </c>
      <c r="Q155" t="s">
        <v>119</v>
      </c>
      <c r="R155" t="s">
        <v>120</v>
      </c>
      <c r="S155" t="s">
        <v>1717</v>
      </c>
      <c r="T155">
        <v>-240</v>
      </c>
      <c r="U155" t="s">
        <v>336</v>
      </c>
      <c r="V155" t="s">
        <v>365</v>
      </c>
    </row>
    <row r="156" spans="12:22">
      <c r="L156" t="s">
        <v>463</v>
      </c>
      <c r="M156" t="s">
        <v>462</v>
      </c>
      <c r="N156" t="s">
        <v>463</v>
      </c>
      <c r="O156" t="s">
        <v>68</v>
      </c>
      <c r="P156" t="s">
        <v>69</v>
      </c>
      <c r="Q156" t="s">
        <v>119</v>
      </c>
      <c r="R156" t="s">
        <v>120</v>
      </c>
      <c r="S156" t="s">
        <v>1739</v>
      </c>
      <c r="T156">
        <v>-210</v>
      </c>
      <c r="U156" t="s">
        <v>464</v>
      </c>
      <c r="V156" t="s">
        <v>465</v>
      </c>
    </row>
    <row r="157" spans="12:22">
      <c r="L157" t="s">
        <v>463</v>
      </c>
      <c r="M157" t="s">
        <v>462</v>
      </c>
      <c r="N157" t="s">
        <v>466</v>
      </c>
      <c r="O157" t="s">
        <v>68</v>
      </c>
      <c r="P157" t="s">
        <v>69</v>
      </c>
      <c r="Q157" t="s">
        <v>119</v>
      </c>
      <c r="R157" t="s">
        <v>120</v>
      </c>
      <c r="S157" t="s">
        <v>1739</v>
      </c>
      <c r="T157">
        <v>-210</v>
      </c>
      <c r="U157" t="s">
        <v>464</v>
      </c>
      <c r="V157" t="s">
        <v>465</v>
      </c>
    </row>
    <row r="158" spans="12:22">
      <c r="L158" t="s">
        <v>1284</v>
      </c>
      <c r="M158" t="s">
        <v>1283</v>
      </c>
      <c r="N158" t="s">
        <v>1284</v>
      </c>
      <c r="O158" t="s">
        <v>56</v>
      </c>
      <c r="P158" t="s">
        <v>922</v>
      </c>
      <c r="Q158" t="s">
        <v>1285</v>
      </c>
      <c r="R158" t="s">
        <v>1286</v>
      </c>
      <c r="S158" t="s">
        <v>1907</v>
      </c>
      <c r="T158">
        <v>390</v>
      </c>
      <c r="U158" t="s">
        <v>1287</v>
      </c>
      <c r="V158" t="s">
        <v>1288</v>
      </c>
    </row>
    <row r="159" spans="12:22">
      <c r="L159" t="s">
        <v>853</v>
      </c>
      <c r="M159" t="s">
        <v>831</v>
      </c>
      <c r="N159" t="s">
        <v>853</v>
      </c>
      <c r="O159" t="s">
        <v>572</v>
      </c>
      <c r="P159" t="s">
        <v>573</v>
      </c>
      <c r="Q159" t="s">
        <v>854</v>
      </c>
      <c r="R159" t="s">
        <v>855</v>
      </c>
      <c r="S159" t="s">
        <v>1819</v>
      </c>
      <c r="T159">
        <v>60</v>
      </c>
      <c r="U159" t="s">
        <v>835</v>
      </c>
      <c r="V159" t="s">
        <v>856</v>
      </c>
    </row>
    <row r="160" spans="12:22">
      <c r="L160" t="s">
        <v>905</v>
      </c>
      <c r="M160" t="s">
        <v>690</v>
      </c>
      <c r="N160" t="s">
        <v>905</v>
      </c>
      <c r="O160" t="s">
        <v>572</v>
      </c>
      <c r="P160" t="s">
        <v>573</v>
      </c>
      <c r="Q160" t="s">
        <v>854</v>
      </c>
      <c r="R160" t="s">
        <v>855</v>
      </c>
      <c r="S160" t="s">
        <v>1832</v>
      </c>
      <c r="T160">
        <v>120</v>
      </c>
      <c r="U160" t="s">
        <v>693</v>
      </c>
      <c r="V160" t="s">
        <v>906</v>
      </c>
    </row>
    <row r="161" spans="12:22">
      <c r="L161" t="s">
        <v>832</v>
      </c>
      <c r="M161" t="s">
        <v>831</v>
      </c>
      <c r="N161" t="s">
        <v>832</v>
      </c>
      <c r="O161" t="s">
        <v>572</v>
      </c>
      <c r="P161" t="s">
        <v>573</v>
      </c>
      <c r="Q161" t="s">
        <v>833</v>
      </c>
      <c r="R161" t="s">
        <v>834</v>
      </c>
      <c r="S161" t="s">
        <v>1814</v>
      </c>
      <c r="T161">
        <v>60</v>
      </c>
      <c r="U161" t="s">
        <v>835</v>
      </c>
      <c r="V161" t="s">
        <v>836</v>
      </c>
    </row>
    <row r="162" spans="12:22">
      <c r="L162" t="s">
        <v>841</v>
      </c>
      <c r="M162" t="s">
        <v>831</v>
      </c>
      <c r="N162" t="s">
        <v>841</v>
      </c>
      <c r="O162" t="s">
        <v>572</v>
      </c>
      <c r="P162" t="s">
        <v>573</v>
      </c>
      <c r="Q162" t="s">
        <v>842</v>
      </c>
      <c r="R162" t="s">
        <v>843</v>
      </c>
      <c r="S162" t="s">
        <v>1816</v>
      </c>
      <c r="T162">
        <v>60</v>
      </c>
      <c r="U162" t="s">
        <v>835</v>
      </c>
      <c r="V162" t="s">
        <v>844</v>
      </c>
    </row>
    <row r="163" spans="12:22">
      <c r="L163" t="s">
        <v>827</v>
      </c>
      <c r="M163" t="s">
        <v>695</v>
      </c>
      <c r="N163" t="s">
        <v>827</v>
      </c>
      <c r="O163" t="s">
        <v>564</v>
      </c>
      <c r="P163" t="s">
        <v>565</v>
      </c>
      <c r="Q163" t="s">
        <v>828</v>
      </c>
      <c r="R163" t="s">
        <v>829</v>
      </c>
      <c r="S163" t="s">
        <v>1813</v>
      </c>
      <c r="T163">
        <v>60</v>
      </c>
      <c r="U163" t="s">
        <v>699</v>
      </c>
      <c r="V163" t="s">
        <v>830</v>
      </c>
    </row>
    <row r="164" spans="12:22">
      <c r="L164" t="s">
        <v>827</v>
      </c>
      <c r="M164" t="s">
        <v>695</v>
      </c>
      <c r="N164" t="s">
        <v>722</v>
      </c>
      <c r="O164" t="s">
        <v>564</v>
      </c>
      <c r="P164" t="s">
        <v>565</v>
      </c>
      <c r="Q164" t="s">
        <v>828</v>
      </c>
      <c r="R164" t="s">
        <v>829</v>
      </c>
      <c r="S164" t="s">
        <v>1813</v>
      </c>
      <c r="T164">
        <v>60</v>
      </c>
      <c r="U164" t="s">
        <v>699</v>
      </c>
      <c r="V164" t="s">
        <v>830</v>
      </c>
    </row>
    <row r="165" spans="12:22">
      <c r="L165" t="s">
        <v>827</v>
      </c>
      <c r="M165" t="s">
        <v>695</v>
      </c>
      <c r="N165" t="s">
        <v>809</v>
      </c>
      <c r="O165" t="s">
        <v>564</v>
      </c>
      <c r="P165" t="s">
        <v>565</v>
      </c>
      <c r="Q165" t="s">
        <v>828</v>
      </c>
      <c r="R165" t="s">
        <v>829</v>
      </c>
      <c r="S165" t="s">
        <v>1813</v>
      </c>
      <c r="T165">
        <v>60</v>
      </c>
      <c r="U165" t="s">
        <v>699</v>
      </c>
      <c r="V165" t="s">
        <v>830</v>
      </c>
    </row>
    <row r="166" spans="12:22">
      <c r="L166" t="s">
        <v>579</v>
      </c>
      <c r="M166" t="s">
        <v>578</v>
      </c>
      <c r="N166" t="s">
        <v>579</v>
      </c>
      <c r="O166" t="s">
        <v>572</v>
      </c>
      <c r="P166" t="s">
        <v>573</v>
      </c>
      <c r="Q166" t="s">
        <v>580</v>
      </c>
      <c r="R166" t="s">
        <v>581</v>
      </c>
      <c r="S166" t="s">
        <v>1755</v>
      </c>
      <c r="T166">
        <v>0</v>
      </c>
      <c r="U166" t="s">
        <v>582</v>
      </c>
      <c r="V166" t="s">
        <v>583</v>
      </c>
    </row>
    <row r="167" spans="12:22">
      <c r="L167" t="s">
        <v>579</v>
      </c>
      <c r="M167" t="s">
        <v>578</v>
      </c>
      <c r="N167" t="s">
        <v>584</v>
      </c>
      <c r="O167" t="s">
        <v>572</v>
      </c>
      <c r="P167" t="s">
        <v>573</v>
      </c>
      <c r="Q167" t="s">
        <v>580</v>
      </c>
      <c r="R167" t="s">
        <v>581</v>
      </c>
      <c r="S167" t="s">
        <v>1755</v>
      </c>
      <c r="T167">
        <v>0</v>
      </c>
      <c r="U167" t="s">
        <v>582</v>
      </c>
      <c r="V167" t="s">
        <v>583</v>
      </c>
    </row>
    <row r="168" spans="12:22">
      <c r="L168" t="s">
        <v>579</v>
      </c>
      <c r="M168" t="s">
        <v>578</v>
      </c>
      <c r="N168" t="s">
        <v>585</v>
      </c>
      <c r="O168" t="s">
        <v>572</v>
      </c>
      <c r="P168" t="s">
        <v>573</v>
      </c>
      <c r="Q168" t="s">
        <v>580</v>
      </c>
      <c r="R168" t="s">
        <v>581</v>
      </c>
      <c r="S168" t="s">
        <v>1755</v>
      </c>
      <c r="T168">
        <v>0</v>
      </c>
      <c r="U168" t="s">
        <v>582</v>
      </c>
      <c r="V168" t="s">
        <v>583</v>
      </c>
    </row>
    <row r="169" spans="12:22">
      <c r="L169" t="s">
        <v>579</v>
      </c>
      <c r="M169" t="s">
        <v>578</v>
      </c>
      <c r="N169" t="s">
        <v>586</v>
      </c>
      <c r="O169" t="s">
        <v>572</v>
      </c>
      <c r="P169" t="s">
        <v>573</v>
      </c>
      <c r="Q169" t="s">
        <v>580</v>
      </c>
      <c r="R169" t="s">
        <v>581</v>
      </c>
      <c r="S169" t="s">
        <v>1755</v>
      </c>
      <c r="T169">
        <v>0</v>
      </c>
      <c r="U169" t="s">
        <v>582</v>
      </c>
      <c r="V169" t="s">
        <v>583</v>
      </c>
    </row>
    <row r="170" spans="12:22">
      <c r="L170" t="s">
        <v>579</v>
      </c>
      <c r="M170" t="s">
        <v>578</v>
      </c>
      <c r="N170" t="s">
        <v>587</v>
      </c>
      <c r="O170" t="s">
        <v>572</v>
      </c>
      <c r="P170" t="s">
        <v>573</v>
      </c>
      <c r="Q170" t="s">
        <v>580</v>
      </c>
      <c r="R170" t="s">
        <v>581</v>
      </c>
      <c r="S170" t="s">
        <v>1755</v>
      </c>
      <c r="T170">
        <v>0</v>
      </c>
      <c r="U170" t="s">
        <v>582</v>
      </c>
      <c r="V170" t="s">
        <v>583</v>
      </c>
    </row>
    <row r="171" spans="12:22">
      <c r="L171" t="s">
        <v>579</v>
      </c>
      <c r="M171" t="s">
        <v>578</v>
      </c>
      <c r="N171" t="s">
        <v>588</v>
      </c>
      <c r="O171" t="s">
        <v>572</v>
      </c>
      <c r="P171" t="s">
        <v>573</v>
      </c>
      <c r="Q171" t="s">
        <v>580</v>
      </c>
      <c r="R171" t="s">
        <v>581</v>
      </c>
      <c r="S171" t="s">
        <v>1755</v>
      </c>
      <c r="T171">
        <v>0</v>
      </c>
      <c r="U171" t="s">
        <v>582</v>
      </c>
      <c r="V171" t="s">
        <v>583</v>
      </c>
    </row>
    <row r="172" spans="12:22">
      <c r="L172" t="s">
        <v>579</v>
      </c>
      <c r="M172" t="s">
        <v>578</v>
      </c>
      <c r="N172" t="s">
        <v>589</v>
      </c>
      <c r="O172" t="s">
        <v>572</v>
      </c>
      <c r="P172" t="s">
        <v>573</v>
      </c>
      <c r="Q172" t="s">
        <v>580</v>
      </c>
      <c r="R172" t="s">
        <v>581</v>
      </c>
      <c r="S172" t="s">
        <v>1755</v>
      </c>
      <c r="T172">
        <v>0</v>
      </c>
      <c r="U172" t="s">
        <v>582</v>
      </c>
      <c r="V172" t="s">
        <v>583</v>
      </c>
    </row>
    <row r="173" spans="12:22">
      <c r="L173" t="s">
        <v>579</v>
      </c>
      <c r="M173" t="s">
        <v>578</v>
      </c>
      <c r="N173" t="s">
        <v>590</v>
      </c>
      <c r="O173" t="s">
        <v>572</v>
      </c>
      <c r="P173" t="s">
        <v>573</v>
      </c>
      <c r="Q173" t="s">
        <v>580</v>
      </c>
      <c r="R173" t="s">
        <v>581</v>
      </c>
      <c r="S173" t="s">
        <v>1755</v>
      </c>
      <c r="T173">
        <v>0</v>
      </c>
      <c r="U173" t="s">
        <v>582</v>
      </c>
      <c r="V173" t="s">
        <v>583</v>
      </c>
    </row>
    <row r="174" spans="12:22">
      <c r="L174" t="s">
        <v>579</v>
      </c>
      <c r="M174" t="s">
        <v>578</v>
      </c>
      <c r="N174" t="s">
        <v>591</v>
      </c>
      <c r="O174" t="s">
        <v>572</v>
      </c>
      <c r="P174" t="s">
        <v>573</v>
      </c>
      <c r="Q174" t="s">
        <v>580</v>
      </c>
      <c r="R174" t="s">
        <v>581</v>
      </c>
      <c r="S174" t="s">
        <v>1755</v>
      </c>
      <c r="T174">
        <v>0</v>
      </c>
      <c r="U174" t="s">
        <v>582</v>
      </c>
      <c r="V174" t="s">
        <v>583</v>
      </c>
    </row>
    <row r="175" spans="12:22">
      <c r="L175" t="s">
        <v>579</v>
      </c>
      <c r="M175" t="s">
        <v>578</v>
      </c>
      <c r="N175" t="s">
        <v>592</v>
      </c>
      <c r="O175" t="s">
        <v>572</v>
      </c>
      <c r="P175" t="s">
        <v>573</v>
      </c>
      <c r="Q175" t="s">
        <v>580</v>
      </c>
      <c r="R175" t="s">
        <v>581</v>
      </c>
      <c r="S175" t="s">
        <v>1755</v>
      </c>
      <c r="T175">
        <v>0</v>
      </c>
      <c r="U175" t="s">
        <v>582</v>
      </c>
      <c r="V175" t="s">
        <v>583</v>
      </c>
    </row>
    <row r="176" spans="12:22">
      <c r="L176" t="s">
        <v>579</v>
      </c>
      <c r="M176" t="s">
        <v>578</v>
      </c>
      <c r="N176" t="s">
        <v>593</v>
      </c>
      <c r="O176" t="s">
        <v>572</v>
      </c>
      <c r="P176" t="s">
        <v>573</v>
      </c>
      <c r="Q176" t="s">
        <v>580</v>
      </c>
      <c r="R176" t="s">
        <v>581</v>
      </c>
      <c r="S176" t="s">
        <v>1755</v>
      </c>
      <c r="T176">
        <v>0</v>
      </c>
      <c r="U176" t="s">
        <v>582</v>
      </c>
      <c r="V176" t="s">
        <v>583</v>
      </c>
    </row>
    <row r="177" spans="12:22">
      <c r="L177" t="s">
        <v>579</v>
      </c>
      <c r="M177" t="s">
        <v>578</v>
      </c>
      <c r="N177" t="s">
        <v>594</v>
      </c>
      <c r="O177" t="s">
        <v>572</v>
      </c>
      <c r="P177" t="s">
        <v>573</v>
      </c>
      <c r="Q177" t="s">
        <v>580</v>
      </c>
      <c r="R177" t="s">
        <v>581</v>
      </c>
      <c r="S177" t="s">
        <v>1755</v>
      </c>
      <c r="T177">
        <v>0</v>
      </c>
      <c r="U177" t="s">
        <v>582</v>
      </c>
      <c r="V177" t="s">
        <v>583</v>
      </c>
    </row>
    <row r="178" spans="12:22">
      <c r="L178" t="s">
        <v>579</v>
      </c>
      <c r="M178" t="s">
        <v>578</v>
      </c>
      <c r="N178" t="s">
        <v>595</v>
      </c>
      <c r="O178" t="s">
        <v>572</v>
      </c>
      <c r="P178" t="s">
        <v>573</v>
      </c>
      <c r="Q178" t="s">
        <v>580</v>
      </c>
      <c r="R178" t="s">
        <v>581</v>
      </c>
      <c r="S178" t="s">
        <v>1755</v>
      </c>
      <c r="T178">
        <v>0</v>
      </c>
      <c r="U178" t="s">
        <v>582</v>
      </c>
      <c r="V178" t="s">
        <v>583</v>
      </c>
    </row>
    <row r="179" spans="12:22">
      <c r="L179" t="s">
        <v>579</v>
      </c>
      <c r="M179" t="s">
        <v>578</v>
      </c>
      <c r="N179" t="s">
        <v>596</v>
      </c>
      <c r="O179" t="s">
        <v>572</v>
      </c>
      <c r="P179" t="s">
        <v>573</v>
      </c>
      <c r="Q179" t="s">
        <v>580</v>
      </c>
      <c r="R179" t="s">
        <v>581</v>
      </c>
      <c r="S179" t="s">
        <v>1755</v>
      </c>
      <c r="T179">
        <v>0</v>
      </c>
      <c r="U179" t="s">
        <v>582</v>
      </c>
      <c r="V179" t="s">
        <v>583</v>
      </c>
    </row>
    <row r="180" spans="12:22">
      <c r="L180" t="s">
        <v>61</v>
      </c>
      <c r="M180" t="s">
        <v>60</v>
      </c>
      <c r="N180" t="s">
        <v>61</v>
      </c>
      <c r="O180" t="s">
        <v>42</v>
      </c>
      <c r="P180" t="s">
        <v>43</v>
      </c>
      <c r="Q180" t="s">
        <v>62</v>
      </c>
      <c r="R180" t="s">
        <v>63</v>
      </c>
      <c r="S180" t="s">
        <v>1663</v>
      </c>
      <c r="T180">
        <v>-600</v>
      </c>
      <c r="U180" t="s">
        <v>64</v>
      </c>
      <c r="V180" t="s">
        <v>65</v>
      </c>
    </row>
    <row r="181" spans="12:22">
      <c r="L181" t="s">
        <v>222</v>
      </c>
      <c r="M181" t="s">
        <v>221</v>
      </c>
      <c r="N181" t="s">
        <v>222</v>
      </c>
      <c r="O181" t="s">
        <v>223</v>
      </c>
      <c r="P181" t="s">
        <v>224</v>
      </c>
      <c r="Q181" t="s">
        <v>225</v>
      </c>
      <c r="R181" t="s">
        <v>226</v>
      </c>
      <c r="S181" t="s">
        <v>1691</v>
      </c>
      <c r="T181">
        <v>-360</v>
      </c>
      <c r="U181" t="s">
        <v>227</v>
      </c>
      <c r="V181" t="s">
        <v>228</v>
      </c>
    </row>
    <row r="182" spans="12:22">
      <c r="L182" t="s">
        <v>222</v>
      </c>
      <c r="M182" t="s">
        <v>221</v>
      </c>
      <c r="N182" t="s">
        <v>229</v>
      </c>
      <c r="O182" t="s">
        <v>223</v>
      </c>
      <c r="P182" t="s">
        <v>224</v>
      </c>
      <c r="Q182" t="s">
        <v>225</v>
      </c>
      <c r="R182" t="s">
        <v>226</v>
      </c>
      <c r="S182" t="s">
        <v>1691</v>
      </c>
      <c r="T182">
        <v>-360</v>
      </c>
      <c r="U182" t="s">
        <v>227</v>
      </c>
      <c r="V182" t="s">
        <v>228</v>
      </c>
    </row>
    <row r="183" spans="12:22">
      <c r="L183" t="s">
        <v>446</v>
      </c>
      <c r="M183" t="s">
        <v>445</v>
      </c>
      <c r="N183" t="s">
        <v>446</v>
      </c>
      <c r="O183" t="s">
        <v>223</v>
      </c>
      <c r="P183" t="s">
        <v>224</v>
      </c>
      <c r="Q183" t="s">
        <v>225</v>
      </c>
      <c r="R183" t="s">
        <v>226</v>
      </c>
      <c r="S183" t="s">
        <v>1736</v>
      </c>
      <c r="T183">
        <v>-240</v>
      </c>
      <c r="U183" t="s">
        <v>447</v>
      </c>
      <c r="V183" t="s">
        <v>448</v>
      </c>
    </row>
    <row r="184" spans="12:22">
      <c r="L184" t="s">
        <v>446</v>
      </c>
      <c r="M184" t="s">
        <v>445</v>
      </c>
      <c r="N184" t="s">
        <v>449</v>
      </c>
      <c r="O184" t="s">
        <v>223</v>
      </c>
      <c r="P184" t="s">
        <v>224</v>
      </c>
      <c r="Q184" t="s">
        <v>225</v>
      </c>
      <c r="R184" t="s">
        <v>226</v>
      </c>
      <c r="S184" t="s">
        <v>1736</v>
      </c>
      <c r="T184">
        <v>-240</v>
      </c>
      <c r="U184" t="s">
        <v>447</v>
      </c>
      <c r="V184" t="s">
        <v>448</v>
      </c>
    </row>
    <row r="185" spans="12:22">
      <c r="L185" t="s">
        <v>509</v>
      </c>
      <c r="M185" t="s">
        <v>445</v>
      </c>
      <c r="N185" t="s">
        <v>509</v>
      </c>
      <c r="O185" t="s">
        <v>223</v>
      </c>
      <c r="P185" t="s">
        <v>224</v>
      </c>
      <c r="Q185" t="s">
        <v>225</v>
      </c>
      <c r="R185" t="s">
        <v>226</v>
      </c>
      <c r="S185" t="s">
        <v>1743</v>
      </c>
      <c r="T185">
        <v>-180</v>
      </c>
      <c r="U185" t="s">
        <v>447</v>
      </c>
      <c r="V185" t="s">
        <v>510</v>
      </c>
    </row>
    <row r="186" spans="12:22">
      <c r="L186" t="s">
        <v>849</v>
      </c>
      <c r="M186" t="s">
        <v>831</v>
      </c>
      <c r="N186" t="s">
        <v>849</v>
      </c>
      <c r="O186" t="s">
        <v>572</v>
      </c>
      <c r="P186" t="s">
        <v>573</v>
      </c>
      <c r="Q186" t="s">
        <v>850</v>
      </c>
      <c r="R186" t="s">
        <v>851</v>
      </c>
      <c r="S186" t="s">
        <v>1818</v>
      </c>
      <c r="T186">
        <v>60</v>
      </c>
      <c r="U186" t="s">
        <v>835</v>
      </c>
      <c r="V186" t="s">
        <v>852</v>
      </c>
    </row>
    <row r="187" spans="12:22">
      <c r="L187" t="s">
        <v>1262</v>
      </c>
      <c r="M187" t="s">
        <v>1261</v>
      </c>
      <c r="N187" t="s">
        <v>1262</v>
      </c>
      <c r="O187" t="s">
        <v>56</v>
      </c>
      <c r="P187" t="s">
        <v>922</v>
      </c>
      <c r="Q187" t="s">
        <v>1263</v>
      </c>
      <c r="R187" t="s">
        <v>1264</v>
      </c>
      <c r="S187" t="s">
        <v>1903</v>
      </c>
      <c r="T187">
        <v>360</v>
      </c>
      <c r="U187" t="s">
        <v>167</v>
      </c>
      <c r="V187" t="s">
        <v>1265</v>
      </c>
    </row>
    <row r="188" spans="12:22">
      <c r="L188" t="s">
        <v>1262</v>
      </c>
      <c r="M188" t="s">
        <v>1261</v>
      </c>
      <c r="N188" t="s">
        <v>1266</v>
      </c>
      <c r="O188" t="s">
        <v>56</v>
      </c>
      <c r="P188" t="s">
        <v>922</v>
      </c>
      <c r="Q188" t="s">
        <v>1263</v>
      </c>
      <c r="R188" t="s">
        <v>1264</v>
      </c>
      <c r="S188" t="s">
        <v>1903</v>
      </c>
      <c r="T188">
        <v>360</v>
      </c>
      <c r="U188" t="s">
        <v>167</v>
      </c>
      <c r="V188" t="s">
        <v>1265</v>
      </c>
    </row>
    <row r="189" spans="12:22">
      <c r="L189" t="s">
        <v>1371</v>
      </c>
      <c r="M189" t="s">
        <v>1261</v>
      </c>
      <c r="N189" t="s">
        <v>1371</v>
      </c>
      <c r="O189" t="s">
        <v>56</v>
      </c>
      <c r="P189" t="s">
        <v>922</v>
      </c>
      <c r="Q189" t="s">
        <v>1263</v>
      </c>
      <c r="R189" t="s">
        <v>1264</v>
      </c>
      <c r="S189" t="s">
        <v>1923</v>
      </c>
      <c r="T189">
        <v>480</v>
      </c>
      <c r="U189" t="s">
        <v>167</v>
      </c>
      <c r="V189" t="s">
        <v>1372</v>
      </c>
    </row>
    <row r="190" spans="12:22">
      <c r="L190" t="s">
        <v>1371</v>
      </c>
      <c r="M190" t="s">
        <v>1261</v>
      </c>
      <c r="N190" t="s">
        <v>1373</v>
      </c>
      <c r="O190" t="s">
        <v>56</v>
      </c>
      <c r="P190" t="s">
        <v>922</v>
      </c>
      <c r="Q190" t="s">
        <v>1263</v>
      </c>
      <c r="R190" t="s">
        <v>1264</v>
      </c>
      <c r="S190" t="s">
        <v>1923</v>
      </c>
      <c r="T190">
        <v>480</v>
      </c>
      <c r="U190" t="s">
        <v>167</v>
      </c>
      <c r="V190" t="s">
        <v>1372</v>
      </c>
    </row>
    <row r="191" spans="12:22">
      <c r="L191" t="s">
        <v>1371</v>
      </c>
      <c r="M191" t="s">
        <v>1261</v>
      </c>
      <c r="N191" t="s">
        <v>1374</v>
      </c>
      <c r="O191" t="s">
        <v>56</v>
      </c>
      <c r="P191" t="s">
        <v>922</v>
      </c>
      <c r="Q191" t="s">
        <v>1263</v>
      </c>
      <c r="R191" t="s">
        <v>1264</v>
      </c>
      <c r="S191" t="s">
        <v>1923</v>
      </c>
      <c r="T191">
        <v>480</v>
      </c>
      <c r="U191" t="s">
        <v>167</v>
      </c>
      <c r="V191" t="s">
        <v>1372</v>
      </c>
    </row>
    <row r="192" spans="12:22">
      <c r="L192" t="s">
        <v>1371</v>
      </c>
      <c r="M192" t="s">
        <v>1261</v>
      </c>
      <c r="N192" t="s">
        <v>1375</v>
      </c>
      <c r="O192" t="s">
        <v>56</v>
      </c>
      <c r="P192" t="s">
        <v>922</v>
      </c>
      <c r="Q192" t="s">
        <v>1263</v>
      </c>
      <c r="R192" t="s">
        <v>1264</v>
      </c>
      <c r="S192" t="s">
        <v>1923</v>
      </c>
      <c r="T192">
        <v>480</v>
      </c>
      <c r="U192" t="s">
        <v>167</v>
      </c>
      <c r="V192" t="s">
        <v>1372</v>
      </c>
    </row>
    <row r="193" spans="12:22">
      <c r="L193" t="s">
        <v>1371</v>
      </c>
      <c r="M193" t="s">
        <v>1261</v>
      </c>
      <c r="N193" t="s">
        <v>1376</v>
      </c>
      <c r="O193" t="s">
        <v>56</v>
      </c>
      <c r="P193" t="s">
        <v>922</v>
      </c>
      <c r="Q193" t="s">
        <v>1263</v>
      </c>
      <c r="R193" t="s">
        <v>1264</v>
      </c>
      <c r="S193" t="s">
        <v>1923</v>
      </c>
      <c r="T193">
        <v>480</v>
      </c>
      <c r="U193" t="s">
        <v>167</v>
      </c>
      <c r="V193" t="s">
        <v>1372</v>
      </c>
    </row>
    <row r="194" spans="12:22">
      <c r="L194" t="s">
        <v>246</v>
      </c>
      <c r="M194" t="s">
        <v>245</v>
      </c>
      <c r="N194" t="s">
        <v>246</v>
      </c>
      <c r="O194" t="s">
        <v>223</v>
      </c>
      <c r="P194" t="s">
        <v>224</v>
      </c>
      <c r="Q194" t="s">
        <v>247</v>
      </c>
      <c r="R194" t="s">
        <v>248</v>
      </c>
      <c r="S194" t="s">
        <v>1694</v>
      </c>
      <c r="T194">
        <v>-300</v>
      </c>
      <c r="U194" t="s">
        <v>249</v>
      </c>
      <c r="V194" t="s">
        <v>250</v>
      </c>
    </row>
    <row r="195" spans="12:22">
      <c r="L195" t="s">
        <v>199</v>
      </c>
      <c r="M195" t="s">
        <v>163</v>
      </c>
      <c r="N195" t="s">
        <v>199</v>
      </c>
      <c r="O195" t="s">
        <v>68</v>
      </c>
      <c r="P195" t="s">
        <v>69</v>
      </c>
      <c r="Q195" t="s">
        <v>200</v>
      </c>
      <c r="R195" t="s">
        <v>201</v>
      </c>
      <c r="S195" t="s">
        <v>1686</v>
      </c>
      <c r="T195">
        <v>-360</v>
      </c>
      <c r="U195" t="s">
        <v>167</v>
      </c>
      <c r="V195" t="s">
        <v>202</v>
      </c>
    </row>
    <row r="196" spans="12:22">
      <c r="L196" t="s">
        <v>252</v>
      </c>
      <c r="M196" t="s">
        <v>251</v>
      </c>
      <c r="N196" t="s">
        <v>252</v>
      </c>
      <c r="O196" t="s">
        <v>68</v>
      </c>
      <c r="P196" t="s">
        <v>69</v>
      </c>
      <c r="Q196" t="s">
        <v>253</v>
      </c>
      <c r="R196" t="s">
        <v>254</v>
      </c>
      <c r="S196" t="s">
        <v>1695</v>
      </c>
      <c r="T196">
        <v>-300</v>
      </c>
      <c r="U196" t="s">
        <v>167</v>
      </c>
      <c r="V196" t="s">
        <v>255</v>
      </c>
    </row>
    <row r="197" spans="12:22">
      <c r="L197" t="s">
        <v>252</v>
      </c>
      <c r="M197" t="s">
        <v>251</v>
      </c>
      <c r="N197" t="s">
        <v>253</v>
      </c>
      <c r="O197" t="s">
        <v>68</v>
      </c>
      <c r="P197" t="s">
        <v>69</v>
      </c>
      <c r="Q197" t="s">
        <v>253</v>
      </c>
      <c r="R197" t="s">
        <v>254</v>
      </c>
      <c r="S197" t="s">
        <v>1695</v>
      </c>
      <c r="T197">
        <v>-300</v>
      </c>
      <c r="U197" t="s">
        <v>167</v>
      </c>
      <c r="V197" t="s">
        <v>255</v>
      </c>
    </row>
    <row r="198" spans="12:22">
      <c r="L198" t="s">
        <v>571</v>
      </c>
      <c r="M198" t="s">
        <v>570</v>
      </c>
      <c r="N198" t="s">
        <v>571</v>
      </c>
      <c r="O198" t="s">
        <v>572</v>
      </c>
      <c r="P198" t="s">
        <v>573</v>
      </c>
      <c r="Q198" t="s">
        <v>574</v>
      </c>
      <c r="R198" t="s">
        <v>575</v>
      </c>
      <c r="S198" t="s">
        <v>1754</v>
      </c>
      <c r="T198">
        <v>-60</v>
      </c>
      <c r="U198" t="s">
        <v>576</v>
      </c>
      <c r="V198" t="s">
        <v>577</v>
      </c>
    </row>
    <row r="199" spans="12:22">
      <c r="L199" t="s">
        <v>424</v>
      </c>
      <c r="M199" t="s">
        <v>332</v>
      </c>
      <c r="N199" t="s">
        <v>424</v>
      </c>
      <c r="O199" t="s">
        <v>68</v>
      </c>
      <c r="P199" t="s">
        <v>69</v>
      </c>
      <c r="Q199" t="s">
        <v>436</v>
      </c>
      <c r="R199" t="s">
        <v>437</v>
      </c>
      <c r="S199" t="s">
        <v>1734</v>
      </c>
      <c r="T199">
        <v>-240</v>
      </c>
      <c r="U199" t="s">
        <v>336</v>
      </c>
      <c r="V199" t="s">
        <v>438</v>
      </c>
    </row>
    <row r="200" spans="12:22">
      <c r="L200" t="s">
        <v>1297</v>
      </c>
      <c r="M200" t="s">
        <v>1296</v>
      </c>
      <c r="N200" t="s">
        <v>1297</v>
      </c>
      <c r="O200" t="s">
        <v>42</v>
      </c>
      <c r="P200" t="s">
        <v>43</v>
      </c>
      <c r="Q200" t="s">
        <v>1298</v>
      </c>
      <c r="R200" t="s">
        <v>1299</v>
      </c>
      <c r="S200" t="s">
        <v>1909</v>
      </c>
      <c r="T200">
        <v>420</v>
      </c>
      <c r="U200" t="s">
        <v>1300</v>
      </c>
      <c r="V200" t="s">
        <v>1301</v>
      </c>
    </row>
    <row r="201" spans="12:22">
      <c r="L201" t="s">
        <v>967</v>
      </c>
      <c r="M201" t="s">
        <v>915</v>
      </c>
      <c r="N201" t="s">
        <v>963</v>
      </c>
      <c r="O201" t="s">
        <v>564</v>
      </c>
      <c r="P201" t="s">
        <v>565</v>
      </c>
      <c r="Q201" t="s">
        <v>964</v>
      </c>
      <c r="R201" t="s">
        <v>965</v>
      </c>
      <c r="S201" t="s">
        <v>1845</v>
      </c>
      <c r="T201">
        <v>120</v>
      </c>
      <c r="U201" t="s">
        <v>919</v>
      </c>
      <c r="V201" t="s">
        <v>966</v>
      </c>
    </row>
    <row r="202" spans="12:22">
      <c r="L202" t="s">
        <v>967</v>
      </c>
      <c r="M202" t="s">
        <v>915</v>
      </c>
      <c r="N202" t="s">
        <v>967</v>
      </c>
      <c r="O202" t="s">
        <v>564</v>
      </c>
      <c r="P202" t="s">
        <v>565</v>
      </c>
      <c r="Q202" t="s">
        <v>964</v>
      </c>
      <c r="R202" t="s">
        <v>965</v>
      </c>
      <c r="S202" t="s">
        <v>1845</v>
      </c>
      <c r="T202">
        <v>120</v>
      </c>
      <c r="U202" t="s">
        <v>919</v>
      </c>
      <c r="V202" t="s">
        <v>966</v>
      </c>
    </row>
    <row r="203" spans="12:22">
      <c r="L203" t="s">
        <v>967</v>
      </c>
      <c r="M203" t="s">
        <v>915</v>
      </c>
      <c r="N203" t="s">
        <v>968</v>
      </c>
      <c r="O203" t="s">
        <v>564</v>
      </c>
      <c r="P203" t="s">
        <v>565</v>
      </c>
      <c r="Q203" t="s">
        <v>964</v>
      </c>
      <c r="R203" t="s">
        <v>965</v>
      </c>
      <c r="S203" t="s">
        <v>1845</v>
      </c>
      <c r="T203">
        <v>120</v>
      </c>
      <c r="U203" t="s">
        <v>919</v>
      </c>
      <c r="V203" t="s">
        <v>966</v>
      </c>
    </row>
    <row r="204" spans="12:22">
      <c r="L204" t="s">
        <v>775</v>
      </c>
      <c r="M204" t="s">
        <v>695</v>
      </c>
      <c r="N204" t="s">
        <v>775</v>
      </c>
      <c r="O204" t="s">
        <v>564</v>
      </c>
      <c r="P204" t="s">
        <v>565</v>
      </c>
      <c r="Q204" t="s">
        <v>776</v>
      </c>
      <c r="R204" t="s">
        <v>777</v>
      </c>
      <c r="S204" t="s">
        <v>1800</v>
      </c>
      <c r="T204">
        <v>60</v>
      </c>
      <c r="U204" t="s">
        <v>699</v>
      </c>
      <c r="V204" t="s">
        <v>778</v>
      </c>
    </row>
    <row r="205" spans="12:22">
      <c r="L205" t="s">
        <v>775</v>
      </c>
      <c r="M205" t="s">
        <v>695</v>
      </c>
      <c r="N205" t="s">
        <v>728</v>
      </c>
      <c r="O205" t="s">
        <v>564</v>
      </c>
      <c r="P205" t="s">
        <v>565</v>
      </c>
      <c r="Q205" t="s">
        <v>776</v>
      </c>
      <c r="R205" t="s">
        <v>777</v>
      </c>
      <c r="S205" t="s">
        <v>1800</v>
      </c>
      <c r="T205">
        <v>60</v>
      </c>
      <c r="U205" t="s">
        <v>699</v>
      </c>
      <c r="V205" t="s">
        <v>778</v>
      </c>
    </row>
    <row r="206" spans="12:22">
      <c r="L206" t="s">
        <v>718</v>
      </c>
      <c r="M206" t="s">
        <v>695</v>
      </c>
      <c r="N206" t="s">
        <v>718</v>
      </c>
      <c r="O206" t="s">
        <v>564</v>
      </c>
      <c r="P206" t="s">
        <v>565</v>
      </c>
      <c r="Q206" t="s">
        <v>719</v>
      </c>
      <c r="R206" t="s">
        <v>720</v>
      </c>
      <c r="S206" t="s">
        <v>1787</v>
      </c>
      <c r="T206">
        <v>60</v>
      </c>
      <c r="U206" t="s">
        <v>699</v>
      </c>
      <c r="V206" t="s">
        <v>721</v>
      </c>
    </row>
    <row r="207" spans="12:22">
      <c r="L207" t="s">
        <v>718</v>
      </c>
      <c r="M207" t="s">
        <v>695</v>
      </c>
      <c r="N207" t="s">
        <v>722</v>
      </c>
      <c r="O207" t="s">
        <v>564</v>
      </c>
      <c r="P207" t="s">
        <v>565</v>
      </c>
      <c r="Q207" t="s">
        <v>719</v>
      </c>
      <c r="R207" t="s">
        <v>720</v>
      </c>
      <c r="S207" t="s">
        <v>1787</v>
      </c>
      <c r="T207">
        <v>60</v>
      </c>
      <c r="U207" t="s">
        <v>699</v>
      </c>
      <c r="V207" t="s">
        <v>721</v>
      </c>
    </row>
    <row r="208" spans="12:22">
      <c r="L208" t="s">
        <v>718</v>
      </c>
      <c r="M208" t="s">
        <v>695</v>
      </c>
      <c r="N208" t="s">
        <v>723</v>
      </c>
      <c r="O208" t="s">
        <v>564</v>
      </c>
      <c r="P208" t="s">
        <v>565</v>
      </c>
      <c r="Q208" t="s">
        <v>719</v>
      </c>
      <c r="R208" t="s">
        <v>720</v>
      </c>
      <c r="S208" t="s">
        <v>1787</v>
      </c>
      <c r="T208">
        <v>60</v>
      </c>
      <c r="U208" t="s">
        <v>699</v>
      </c>
      <c r="V208" t="s">
        <v>721</v>
      </c>
    </row>
    <row r="209" spans="12:22">
      <c r="L209" t="s">
        <v>718</v>
      </c>
      <c r="M209" t="s">
        <v>695</v>
      </c>
      <c r="N209" t="s">
        <v>724</v>
      </c>
      <c r="O209" t="s">
        <v>564</v>
      </c>
      <c r="P209" t="s">
        <v>565</v>
      </c>
      <c r="Q209" t="s">
        <v>719</v>
      </c>
      <c r="R209" t="s">
        <v>720</v>
      </c>
      <c r="S209" t="s">
        <v>1787</v>
      </c>
      <c r="T209">
        <v>60</v>
      </c>
      <c r="U209" t="s">
        <v>699</v>
      </c>
      <c r="V209" t="s">
        <v>721</v>
      </c>
    </row>
    <row r="210" spans="12:22">
      <c r="L210" t="s">
        <v>718</v>
      </c>
      <c r="M210" t="s">
        <v>695</v>
      </c>
      <c r="N210" t="s">
        <v>725</v>
      </c>
      <c r="O210" t="s">
        <v>564</v>
      </c>
      <c r="P210" t="s">
        <v>565</v>
      </c>
      <c r="Q210" t="s">
        <v>719</v>
      </c>
      <c r="R210" t="s">
        <v>720</v>
      </c>
      <c r="S210" t="s">
        <v>1787</v>
      </c>
      <c r="T210">
        <v>60</v>
      </c>
      <c r="U210" t="s">
        <v>699</v>
      </c>
      <c r="V210" t="s">
        <v>721</v>
      </c>
    </row>
    <row r="211" spans="12:22">
      <c r="L211" t="s">
        <v>718</v>
      </c>
      <c r="M211" t="s">
        <v>695</v>
      </c>
      <c r="N211" t="s">
        <v>726</v>
      </c>
      <c r="O211" t="s">
        <v>564</v>
      </c>
      <c r="P211" t="s">
        <v>565</v>
      </c>
      <c r="Q211" t="s">
        <v>719</v>
      </c>
      <c r="R211" t="s">
        <v>720</v>
      </c>
      <c r="S211" t="s">
        <v>1787</v>
      </c>
      <c r="T211">
        <v>60</v>
      </c>
      <c r="U211" t="s">
        <v>699</v>
      </c>
      <c r="V211" t="s">
        <v>721</v>
      </c>
    </row>
    <row r="212" spans="12:22">
      <c r="L212" t="s">
        <v>718</v>
      </c>
      <c r="M212" t="s">
        <v>695</v>
      </c>
      <c r="N212" t="s">
        <v>727</v>
      </c>
      <c r="O212" t="s">
        <v>564</v>
      </c>
      <c r="P212" t="s">
        <v>565</v>
      </c>
      <c r="Q212" t="s">
        <v>719</v>
      </c>
      <c r="R212" t="s">
        <v>720</v>
      </c>
      <c r="S212" t="s">
        <v>1787</v>
      </c>
      <c r="T212">
        <v>60</v>
      </c>
      <c r="U212" t="s">
        <v>699</v>
      </c>
      <c r="V212" t="s">
        <v>721</v>
      </c>
    </row>
    <row r="213" spans="12:22">
      <c r="L213" t="s">
        <v>1062</v>
      </c>
      <c r="M213" t="s">
        <v>1044</v>
      </c>
      <c r="N213" t="s">
        <v>1062</v>
      </c>
      <c r="O213" t="s">
        <v>572</v>
      </c>
      <c r="P213" t="s">
        <v>573</v>
      </c>
      <c r="Q213" t="s">
        <v>1063</v>
      </c>
      <c r="R213" t="s">
        <v>1064</v>
      </c>
      <c r="S213" t="s">
        <v>1867</v>
      </c>
      <c r="T213">
        <v>180</v>
      </c>
      <c r="U213" t="s">
        <v>1048</v>
      </c>
      <c r="V213" t="s">
        <v>1065</v>
      </c>
    </row>
    <row r="214" spans="12:22">
      <c r="L214" t="s">
        <v>724</v>
      </c>
      <c r="M214" t="s">
        <v>695</v>
      </c>
      <c r="N214" t="s">
        <v>724</v>
      </c>
      <c r="O214" t="s">
        <v>564</v>
      </c>
      <c r="P214" t="s">
        <v>565</v>
      </c>
      <c r="Q214" t="s">
        <v>742</v>
      </c>
      <c r="R214" t="s">
        <v>743</v>
      </c>
      <c r="S214" t="s">
        <v>1791</v>
      </c>
      <c r="T214">
        <v>60</v>
      </c>
      <c r="U214" t="s">
        <v>699</v>
      </c>
      <c r="V214" t="s">
        <v>744</v>
      </c>
    </row>
    <row r="215" spans="12:22">
      <c r="L215" t="s">
        <v>402</v>
      </c>
      <c r="M215" t="s">
        <v>332</v>
      </c>
      <c r="N215" t="s">
        <v>402</v>
      </c>
      <c r="O215" t="s">
        <v>68</v>
      </c>
      <c r="P215" t="s">
        <v>69</v>
      </c>
      <c r="Q215" t="s">
        <v>403</v>
      </c>
      <c r="R215" t="s">
        <v>404</v>
      </c>
      <c r="S215" t="s">
        <v>1726</v>
      </c>
      <c r="T215">
        <v>-240</v>
      </c>
      <c r="U215" t="s">
        <v>336</v>
      </c>
      <c r="V215" t="s">
        <v>405</v>
      </c>
    </row>
    <row r="216" spans="12:22">
      <c r="L216" t="s">
        <v>425</v>
      </c>
      <c r="M216" t="s">
        <v>332</v>
      </c>
      <c r="N216" t="s">
        <v>425</v>
      </c>
      <c r="O216" t="s">
        <v>68</v>
      </c>
      <c r="P216" t="s">
        <v>69</v>
      </c>
      <c r="Q216" t="s">
        <v>426</v>
      </c>
      <c r="R216" t="s">
        <v>427</v>
      </c>
      <c r="S216" t="s">
        <v>1731</v>
      </c>
      <c r="T216">
        <v>-240</v>
      </c>
      <c r="U216" t="s">
        <v>336</v>
      </c>
      <c r="V216" t="s">
        <v>428</v>
      </c>
    </row>
    <row r="217" spans="12:22">
      <c r="L217" t="s">
        <v>696</v>
      </c>
      <c r="M217" t="s">
        <v>695</v>
      </c>
      <c r="N217" t="s">
        <v>696</v>
      </c>
      <c r="O217" t="s">
        <v>572</v>
      </c>
      <c r="P217" t="s">
        <v>573</v>
      </c>
      <c r="Q217" t="s">
        <v>697</v>
      </c>
      <c r="R217" t="s">
        <v>698</v>
      </c>
      <c r="S217" t="s">
        <v>1783</v>
      </c>
      <c r="T217">
        <v>60</v>
      </c>
      <c r="U217" t="s">
        <v>699</v>
      </c>
      <c r="V217" t="s">
        <v>700</v>
      </c>
    </row>
    <row r="218" spans="12:22">
      <c r="L218" t="s">
        <v>231</v>
      </c>
      <c r="M218" t="s">
        <v>230</v>
      </c>
      <c r="N218" t="s">
        <v>231</v>
      </c>
      <c r="O218" t="s">
        <v>223</v>
      </c>
      <c r="P218" t="s">
        <v>224</v>
      </c>
      <c r="Q218" t="s">
        <v>232</v>
      </c>
      <c r="R218" t="s">
        <v>233</v>
      </c>
      <c r="S218" t="s">
        <v>1692</v>
      </c>
      <c r="T218">
        <v>-360</v>
      </c>
      <c r="U218" t="s">
        <v>234</v>
      </c>
      <c r="V218" t="s">
        <v>235</v>
      </c>
    </row>
    <row r="219" spans="12:22">
      <c r="L219" t="s">
        <v>314</v>
      </c>
      <c r="M219" t="s">
        <v>313</v>
      </c>
      <c r="N219" t="s">
        <v>314</v>
      </c>
      <c r="O219" t="s">
        <v>223</v>
      </c>
      <c r="P219" t="s">
        <v>224</v>
      </c>
      <c r="Q219" t="s">
        <v>232</v>
      </c>
      <c r="R219" t="s">
        <v>233</v>
      </c>
      <c r="S219" t="s">
        <v>1706</v>
      </c>
      <c r="T219">
        <v>-300</v>
      </c>
      <c r="U219" t="s">
        <v>315</v>
      </c>
      <c r="V219" t="s">
        <v>316</v>
      </c>
    </row>
    <row r="220" spans="12:22">
      <c r="L220" t="s">
        <v>977</v>
      </c>
      <c r="M220" t="s">
        <v>915</v>
      </c>
      <c r="N220" t="s">
        <v>977</v>
      </c>
      <c r="O220" t="s">
        <v>564</v>
      </c>
      <c r="P220" t="s">
        <v>565</v>
      </c>
      <c r="Q220" t="s">
        <v>978</v>
      </c>
      <c r="R220" t="s">
        <v>979</v>
      </c>
      <c r="S220" t="s">
        <v>1848</v>
      </c>
      <c r="T220">
        <v>120</v>
      </c>
      <c r="U220" t="s">
        <v>919</v>
      </c>
      <c r="V220" t="s">
        <v>980</v>
      </c>
    </row>
    <row r="221" spans="12:22">
      <c r="L221" t="s">
        <v>930</v>
      </c>
      <c r="M221" t="s">
        <v>915</v>
      </c>
      <c r="N221" t="s">
        <v>930</v>
      </c>
      <c r="O221" t="s">
        <v>572</v>
      </c>
      <c r="P221" t="s">
        <v>573</v>
      </c>
      <c r="Q221" t="s">
        <v>931</v>
      </c>
      <c r="R221" t="s">
        <v>932</v>
      </c>
      <c r="S221" t="s">
        <v>1838</v>
      </c>
      <c r="T221">
        <v>120</v>
      </c>
      <c r="U221" t="s">
        <v>919</v>
      </c>
      <c r="V221" t="s">
        <v>933</v>
      </c>
    </row>
    <row r="222" spans="12:22">
      <c r="L222" t="s">
        <v>930</v>
      </c>
      <c r="M222" t="s">
        <v>915</v>
      </c>
      <c r="N222" t="s">
        <v>931</v>
      </c>
      <c r="O222" t="s">
        <v>572</v>
      </c>
      <c r="P222" t="s">
        <v>573</v>
      </c>
      <c r="Q222" t="s">
        <v>931</v>
      </c>
      <c r="R222" t="s">
        <v>932</v>
      </c>
      <c r="S222" t="s">
        <v>1838</v>
      </c>
      <c r="T222">
        <v>120</v>
      </c>
      <c r="U222" t="s">
        <v>919</v>
      </c>
      <c r="V222" t="s">
        <v>933</v>
      </c>
    </row>
    <row r="223" spans="12:22">
      <c r="L223" t="s">
        <v>674</v>
      </c>
      <c r="M223" t="s">
        <v>668</v>
      </c>
      <c r="N223" t="s">
        <v>674</v>
      </c>
      <c r="O223" t="s">
        <v>572</v>
      </c>
      <c r="P223" t="s">
        <v>573</v>
      </c>
      <c r="Q223" t="s">
        <v>675</v>
      </c>
      <c r="R223" t="s">
        <v>676</v>
      </c>
      <c r="S223" t="s">
        <v>1778</v>
      </c>
      <c r="T223">
        <v>0</v>
      </c>
      <c r="U223" t="s">
        <v>672</v>
      </c>
      <c r="V223" t="s">
        <v>677</v>
      </c>
    </row>
    <row r="224" spans="12:22">
      <c r="L224" t="s">
        <v>1054</v>
      </c>
      <c r="M224" t="s">
        <v>1044</v>
      </c>
      <c r="N224" t="s">
        <v>1054</v>
      </c>
      <c r="O224" t="s">
        <v>572</v>
      </c>
      <c r="P224" t="s">
        <v>573</v>
      </c>
      <c r="Q224" t="s">
        <v>1055</v>
      </c>
      <c r="R224" t="s">
        <v>1056</v>
      </c>
      <c r="S224" t="s">
        <v>1865</v>
      </c>
      <c r="T224">
        <v>180</v>
      </c>
      <c r="U224" t="s">
        <v>1048</v>
      </c>
      <c r="V224" t="s">
        <v>1057</v>
      </c>
    </row>
    <row r="225" spans="12:22">
      <c r="L225" t="s">
        <v>678</v>
      </c>
      <c r="M225" t="s">
        <v>668</v>
      </c>
      <c r="N225" t="s">
        <v>678</v>
      </c>
      <c r="O225" t="s">
        <v>564</v>
      </c>
      <c r="P225" t="s">
        <v>565</v>
      </c>
      <c r="Q225" t="s">
        <v>679</v>
      </c>
      <c r="R225" t="s">
        <v>680</v>
      </c>
      <c r="S225" t="s">
        <v>1779</v>
      </c>
      <c r="T225">
        <v>0</v>
      </c>
      <c r="U225" t="s">
        <v>672</v>
      </c>
      <c r="V225" t="s">
        <v>681</v>
      </c>
    </row>
    <row r="226" spans="12:22">
      <c r="L226" t="s">
        <v>760</v>
      </c>
      <c r="M226" t="s">
        <v>695</v>
      </c>
      <c r="N226" t="s">
        <v>758</v>
      </c>
      <c r="O226" t="s">
        <v>564</v>
      </c>
      <c r="P226" t="s">
        <v>565</v>
      </c>
      <c r="Q226" t="s">
        <v>679</v>
      </c>
      <c r="R226" t="s">
        <v>680</v>
      </c>
      <c r="S226" t="s">
        <v>1795</v>
      </c>
      <c r="T226">
        <v>60</v>
      </c>
      <c r="U226" t="s">
        <v>699</v>
      </c>
      <c r="V226" t="s">
        <v>759</v>
      </c>
    </row>
    <row r="227" spans="12:22">
      <c r="L227" t="s">
        <v>760</v>
      </c>
      <c r="M227" t="s">
        <v>695</v>
      </c>
      <c r="N227" t="s">
        <v>760</v>
      </c>
      <c r="O227" t="s">
        <v>564</v>
      </c>
      <c r="P227" t="s">
        <v>565</v>
      </c>
      <c r="Q227" t="s">
        <v>679</v>
      </c>
      <c r="R227" t="s">
        <v>680</v>
      </c>
      <c r="S227" t="s">
        <v>1795</v>
      </c>
      <c r="T227">
        <v>60</v>
      </c>
      <c r="U227" t="s">
        <v>699</v>
      </c>
      <c r="V227" t="s">
        <v>759</v>
      </c>
    </row>
    <row r="228" spans="12:22">
      <c r="L228" t="s">
        <v>1045</v>
      </c>
      <c r="M228" t="s">
        <v>1044</v>
      </c>
      <c r="N228" t="s">
        <v>1045</v>
      </c>
      <c r="O228" t="s">
        <v>572</v>
      </c>
      <c r="P228" t="s">
        <v>573</v>
      </c>
      <c r="Q228" t="s">
        <v>1046</v>
      </c>
      <c r="R228" t="s">
        <v>1047</v>
      </c>
      <c r="S228" t="s">
        <v>1863</v>
      </c>
      <c r="T228">
        <v>180</v>
      </c>
      <c r="U228" t="s">
        <v>1048</v>
      </c>
      <c r="V228" t="s">
        <v>1049</v>
      </c>
    </row>
    <row r="229" spans="12:22">
      <c r="L229" t="s">
        <v>944</v>
      </c>
      <c r="M229" t="s">
        <v>915</v>
      </c>
      <c r="N229" t="s">
        <v>944</v>
      </c>
      <c r="O229" t="s">
        <v>564</v>
      </c>
      <c r="P229" t="s">
        <v>565</v>
      </c>
      <c r="Q229" t="s">
        <v>945</v>
      </c>
      <c r="R229" t="s">
        <v>946</v>
      </c>
      <c r="S229" t="s">
        <v>1841</v>
      </c>
      <c r="T229">
        <v>120</v>
      </c>
      <c r="U229" t="s">
        <v>919</v>
      </c>
      <c r="V229" t="s">
        <v>947</v>
      </c>
    </row>
    <row r="230" spans="12:22">
      <c r="L230" t="s">
        <v>944</v>
      </c>
      <c r="M230" t="s">
        <v>915</v>
      </c>
      <c r="N230" t="s">
        <v>948</v>
      </c>
      <c r="O230" t="s">
        <v>564</v>
      </c>
      <c r="P230" t="s">
        <v>565</v>
      </c>
      <c r="Q230" t="s">
        <v>945</v>
      </c>
      <c r="R230" t="s">
        <v>946</v>
      </c>
      <c r="S230" t="s">
        <v>1841</v>
      </c>
      <c r="T230">
        <v>120</v>
      </c>
      <c r="U230" t="s">
        <v>919</v>
      </c>
      <c r="V230" t="s">
        <v>947</v>
      </c>
    </row>
    <row r="231" spans="12:22">
      <c r="L231" t="s">
        <v>1568</v>
      </c>
      <c r="M231" t="s">
        <v>1567</v>
      </c>
      <c r="N231" t="s">
        <v>1568</v>
      </c>
      <c r="O231" t="s">
        <v>42</v>
      </c>
      <c r="P231" t="s">
        <v>43</v>
      </c>
      <c r="Q231" t="s">
        <v>1569</v>
      </c>
      <c r="R231" t="s">
        <v>1570</v>
      </c>
      <c r="S231" t="s">
        <v>1957</v>
      </c>
      <c r="T231">
        <v>720</v>
      </c>
      <c r="U231" t="s">
        <v>1571</v>
      </c>
      <c r="V231" t="s">
        <v>1572</v>
      </c>
    </row>
    <row r="232" spans="12:22">
      <c r="L232" t="s">
        <v>512</v>
      </c>
      <c r="M232" t="s">
        <v>511</v>
      </c>
      <c r="N232" t="s">
        <v>512</v>
      </c>
      <c r="O232" t="s">
        <v>223</v>
      </c>
      <c r="P232" t="s">
        <v>224</v>
      </c>
      <c r="Q232" t="s">
        <v>513</v>
      </c>
      <c r="R232" t="s">
        <v>514</v>
      </c>
      <c r="S232" t="s">
        <v>1744</v>
      </c>
      <c r="T232">
        <v>-180</v>
      </c>
      <c r="U232" t="s">
        <v>515</v>
      </c>
      <c r="V232" t="s">
        <v>516</v>
      </c>
    </row>
    <row r="233" spans="12:22">
      <c r="L233" t="s">
        <v>1501</v>
      </c>
      <c r="M233" t="s">
        <v>1500</v>
      </c>
      <c r="N233" t="s">
        <v>1501</v>
      </c>
      <c r="O233" t="s">
        <v>42</v>
      </c>
      <c r="P233" t="s">
        <v>43</v>
      </c>
      <c r="Q233" t="s">
        <v>1502</v>
      </c>
      <c r="R233" t="s">
        <v>1503</v>
      </c>
      <c r="S233" t="s">
        <v>1945</v>
      </c>
      <c r="T233">
        <v>600</v>
      </c>
      <c r="U233" t="s">
        <v>1504</v>
      </c>
      <c r="V233" t="s">
        <v>1505</v>
      </c>
    </row>
    <row r="234" spans="12:22">
      <c r="L234" t="s">
        <v>1501</v>
      </c>
      <c r="M234" t="s">
        <v>1500</v>
      </c>
      <c r="N234" t="s">
        <v>1506</v>
      </c>
      <c r="O234" t="s">
        <v>42</v>
      </c>
      <c r="P234" t="s">
        <v>43</v>
      </c>
      <c r="Q234" t="s">
        <v>1502</v>
      </c>
      <c r="R234" t="s">
        <v>1503</v>
      </c>
      <c r="S234" t="s">
        <v>1945</v>
      </c>
      <c r="T234">
        <v>600</v>
      </c>
      <c r="U234" t="s">
        <v>1504</v>
      </c>
      <c r="V234" t="s">
        <v>1505</v>
      </c>
    </row>
    <row r="235" spans="12:22">
      <c r="L235" t="s">
        <v>1501</v>
      </c>
      <c r="M235" t="s">
        <v>1500</v>
      </c>
      <c r="N235" t="s">
        <v>1507</v>
      </c>
      <c r="O235" t="s">
        <v>42</v>
      </c>
      <c r="P235" t="s">
        <v>43</v>
      </c>
      <c r="Q235" t="s">
        <v>1502</v>
      </c>
      <c r="R235" t="s">
        <v>1503</v>
      </c>
      <c r="S235" t="s">
        <v>1945</v>
      </c>
      <c r="T235">
        <v>600</v>
      </c>
      <c r="U235" t="s">
        <v>1504</v>
      </c>
      <c r="V235" t="s">
        <v>1505</v>
      </c>
    </row>
    <row r="236" spans="12:22">
      <c r="L236" t="s">
        <v>1532</v>
      </c>
      <c r="M236" t="s">
        <v>1531</v>
      </c>
      <c r="N236" t="s">
        <v>1532</v>
      </c>
      <c r="O236" t="s">
        <v>42</v>
      </c>
      <c r="P236" t="s">
        <v>43</v>
      </c>
      <c r="Q236" t="s">
        <v>1502</v>
      </c>
      <c r="R236" t="s">
        <v>1503</v>
      </c>
      <c r="S236" t="s">
        <v>1951</v>
      </c>
      <c r="T236">
        <v>660</v>
      </c>
      <c r="U236" t="s">
        <v>1533</v>
      </c>
      <c r="V236" t="s">
        <v>1534</v>
      </c>
    </row>
    <row r="237" spans="12:22">
      <c r="L237" t="s">
        <v>1532</v>
      </c>
      <c r="M237" t="s">
        <v>1531</v>
      </c>
      <c r="N237" t="s">
        <v>1535</v>
      </c>
      <c r="O237" t="s">
        <v>42</v>
      </c>
      <c r="P237" t="s">
        <v>43</v>
      </c>
      <c r="Q237" t="s">
        <v>1502</v>
      </c>
      <c r="R237" t="s">
        <v>1503</v>
      </c>
      <c r="S237" t="s">
        <v>1951</v>
      </c>
      <c r="T237">
        <v>660</v>
      </c>
      <c r="U237" t="s">
        <v>1533</v>
      </c>
      <c r="V237" t="s">
        <v>1534</v>
      </c>
    </row>
    <row r="238" spans="12:22">
      <c r="L238" t="s">
        <v>685</v>
      </c>
      <c r="M238" t="s">
        <v>668</v>
      </c>
      <c r="N238" t="s">
        <v>685</v>
      </c>
      <c r="O238" t="s">
        <v>564</v>
      </c>
      <c r="P238" t="s">
        <v>565</v>
      </c>
      <c r="Q238" t="s">
        <v>686</v>
      </c>
      <c r="R238" t="s">
        <v>687</v>
      </c>
      <c r="S238" t="s">
        <v>1781</v>
      </c>
      <c r="T238">
        <v>0</v>
      </c>
      <c r="U238" t="s">
        <v>672</v>
      </c>
      <c r="V238" t="s">
        <v>688</v>
      </c>
    </row>
    <row r="239" spans="12:22">
      <c r="L239" t="s">
        <v>685</v>
      </c>
      <c r="M239" t="s">
        <v>668</v>
      </c>
      <c r="N239" t="s">
        <v>689</v>
      </c>
      <c r="O239" t="s">
        <v>564</v>
      </c>
      <c r="P239" t="s">
        <v>565</v>
      </c>
      <c r="Q239" t="s">
        <v>686</v>
      </c>
      <c r="R239" t="s">
        <v>687</v>
      </c>
      <c r="S239" t="s">
        <v>1781</v>
      </c>
      <c r="T239">
        <v>0</v>
      </c>
      <c r="U239" t="s">
        <v>672</v>
      </c>
      <c r="V239" t="s">
        <v>688</v>
      </c>
    </row>
    <row r="240" spans="12:22">
      <c r="L240" t="s">
        <v>768</v>
      </c>
      <c r="M240" t="s">
        <v>695</v>
      </c>
      <c r="N240" t="s">
        <v>768</v>
      </c>
      <c r="O240" t="s">
        <v>564</v>
      </c>
      <c r="P240" t="s">
        <v>565</v>
      </c>
      <c r="Q240" t="s">
        <v>769</v>
      </c>
      <c r="R240" t="s">
        <v>770</v>
      </c>
      <c r="S240" t="s">
        <v>1798</v>
      </c>
      <c r="T240">
        <v>60</v>
      </c>
      <c r="U240" t="s">
        <v>699</v>
      </c>
      <c r="V240" t="s">
        <v>771</v>
      </c>
    </row>
    <row r="241" spans="12:22">
      <c r="L241" t="s">
        <v>768</v>
      </c>
      <c r="M241" t="s">
        <v>695</v>
      </c>
      <c r="N241" t="s">
        <v>761</v>
      </c>
      <c r="O241" t="s">
        <v>564</v>
      </c>
      <c r="P241" t="s">
        <v>565</v>
      </c>
      <c r="Q241" t="s">
        <v>769</v>
      </c>
      <c r="R241" t="s">
        <v>770</v>
      </c>
      <c r="S241" t="s">
        <v>1798</v>
      </c>
      <c r="T241">
        <v>60</v>
      </c>
      <c r="U241" t="s">
        <v>699</v>
      </c>
      <c r="V241" t="s">
        <v>771</v>
      </c>
    </row>
    <row r="242" spans="12:22">
      <c r="L242" t="s">
        <v>861</v>
      </c>
      <c r="M242" t="s">
        <v>831</v>
      </c>
      <c r="N242" t="s">
        <v>861</v>
      </c>
      <c r="O242" t="s">
        <v>572</v>
      </c>
      <c r="P242" t="s">
        <v>573</v>
      </c>
      <c r="Q242" t="s">
        <v>864</v>
      </c>
      <c r="R242" t="s">
        <v>865</v>
      </c>
      <c r="S242" t="s">
        <v>1821</v>
      </c>
      <c r="T242">
        <v>60</v>
      </c>
      <c r="U242" t="s">
        <v>835</v>
      </c>
      <c r="V242" t="s">
        <v>866</v>
      </c>
    </row>
    <row r="243" spans="12:22">
      <c r="L243" t="s">
        <v>633</v>
      </c>
      <c r="M243" t="s">
        <v>578</v>
      </c>
      <c r="N243" t="s">
        <v>633</v>
      </c>
      <c r="O243" t="s">
        <v>564</v>
      </c>
      <c r="P243" t="s">
        <v>565</v>
      </c>
      <c r="Q243" t="s">
        <v>634</v>
      </c>
      <c r="R243" t="s">
        <v>635</v>
      </c>
      <c r="S243" t="s">
        <v>1767</v>
      </c>
      <c r="T243">
        <v>0</v>
      </c>
      <c r="U243" t="s">
        <v>582</v>
      </c>
      <c r="V243" t="s">
        <v>636</v>
      </c>
    </row>
    <row r="244" spans="12:22">
      <c r="L244" t="s">
        <v>633</v>
      </c>
      <c r="M244" t="s">
        <v>578</v>
      </c>
      <c r="N244" t="s">
        <v>635</v>
      </c>
      <c r="O244" t="s">
        <v>564</v>
      </c>
      <c r="P244" t="s">
        <v>565</v>
      </c>
      <c r="Q244" t="s">
        <v>634</v>
      </c>
      <c r="R244" t="s">
        <v>635</v>
      </c>
      <c r="S244" t="s">
        <v>1767</v>
      </c>
      <c r="T244">
        <v>0</v>
      </c>
      <c r="U244" t="s">
        <v>582</v>
      </c>
      <c r="V244" t="s">
        <v>636</v>
      </c>
    </row>
    <row r="245" spans="12:22">
      <c r="L245" t="s">
        <v>633</v>
      </c>
      <c r="M245" t="s">
        <v>578</v>
      </c>
      <c r="N245" t="s">
        <v>637</v>
      </c>
      <c r="O245" t="s">
        <v>564</v>
      </c>
      <c r="P245" t="s">
        <v>565</v>
      </c>
      <c r="Q245" t="s">
        <v>634</v>
      </c>
      <c r="R245" t="s">
        <v>635</v>
      </c>
      <c r="S245" t="s">
        <v>1767</v>
      </c>
      <c r="T245">
        <v>0</v>
      </c>
      <c r="U245" t="s">
        <v>582</v>
      </c>
      <c r="V245" t="s">
        <v>636</v>
      </c>
    </row>
    <row r="246" spans="12:22">
      <c r="L246" t="s">
        <v>633</v>
      </c>
      <c r="M246" t="s">
        <v>578</v>
      </c>
      <c r="N246" t="s">
        <v>638</v>
      </c>
      <c r="O246" t="s">
        <v>564</v>
      </c>
      <c r="P246" t="s">
        <v>565</v>
      </c>
      <c r="Q246" t="s">
        <v>634</v>
      </c>
      <c r="R246" t="s">
        <v>635</v>
      </c>
      <c r="S246" t="s">
        <v>1767</v>
      </c>
      <c r="T246">
        <v>0</v>
      </c>
      <c r="U246" t="s">
        <v>582</v>
      </c>
      <c r="V246" t="s">
        <v>636</v>
      </c>
    </row>
    <row r="247" spans="12:22">
      <c r="L247" t="s">
        <v>633</v>
      </c>
      <c r="M247" t="s">
        <v>578</v>
      </c>
      <c r="N247" t="s">
        <v>612</v>
      </c>
      <c r="O247" t="s">
        <v>564</v>
      </c>
      <c r="P247" t="s">
        <v>565</v>
      </c>
      <c r="Q247" t="s">
        <v>634</v>
      </c>
      <c r="R247" t="s">
        <v>635</v>
      </c>
      <c r="S247" t="s">
        <v>1767</v>
      </c>
      <c r="T247">
        <v>0</v>
      </c>
      <c r="U247" t="s">
        <v>582</v>
      </c>
      <c r="V247" t="s">
        <v>636</v>
      </c>
    </row>
    <row r="248" spans="12:22">
      <c r="L248" t="s">
        <v>633</v>
      </c>
      <c r="M248" t="s">
        <v>578</v>
      </c>
      <c r="N248" t="s">
        <v>639</v>
      </c>
      <c r="O248" t="s">
        <v>564</v>
      </c>
      <c r="P248" t="s">
        <v>565</v>
      </c>
      <c r="Q248" t="s">
        <v>634</v>
      </c>
      <c r="R248" t="s">
        <v>635</v>
      </c>
      <c r="S248" t="s">
        <v>1767</v>
      </c>
      <c r="T248">
        <v>0</v>
      </c>
      <c r="U248" t="s">
        <v>582</v>
      </c>
      <c r="V248" t="s">
        <v>636</v>
      </c>
    </row>
    <row r="249" spans="12:22">
      <c r="L249" t="s">
        <v>633</v>
      </c>
      <c r="M249" t="s">
        <v>578</v>
      </c>
      <c r="N249" t="s">
        <v>640</v>
      </c>
      <c r="O249" t="s">
        <v>564</v>
      </c>
      <c r="P249" t="s">
        <v>565</v>
      </c>
      <c r="Q249" t="s">
        <v>634</v>
      </c>
      <c r="R249" t="s">
        <v>635</v>
      </c>
      <c r="S249" t="s">
        <v>1767</v>
      </c>
      <c r="T249">
        <v>0</v>
      </c>
      <c r="U249" t="s">
        <v>582</v>
      </c>
      <c r="V249" t="s">
        <v>636</v>
      </c>
    </row>
    <row r="250" spans="12:22">
      <c r="L250" t="s">
        <v>410</v>
      </c>
      <c r="M250" t="s">
        <v>332</v>
      </c>
      <c r="N250" t="s">
        <v>410</v>
      </c>
      <c r="O250" t="s">
        <v>68</v>
      </c>
      <c r="P250" t="s">
        <v>69</v>
      </c>
      <c r="Q250" t="s">
        <v>411</v>
      </c>
      <c r="R250" t="s">
        <v>412</v>
      </c>
      <c r="S250" t="s">
        <v>1728</v>
      </c>
      <c r="T250">
        <v>-240</v>
      </c>
      <c r="U250" t="s">
        <v>336</v>
      </c>
      <c r="V250" t="s">
        <v>413</v>
      </c>
    </row>
    <row r="251" spans="12:22">
      <c r="L251" t="s">
        <v>1127</v>
      </c>
      <c r="M251" t="s">
        <v>1126</v>
      </c>
      <c r="N251" t="s">
        <v>1127</v>
      </c>
      <c r="O251" t="s">
        <v>56</v>
      </c>
      <c r="P251" t="s">
        <v>922</v>
      </c>
      <c r="Q251" t="s">
        <v>1128</v>
      </c>
      <c r="R251" t="s">
        <v>1129</v>
      </c>
      <c r="S251" t="s">
        <v>1881</v>
      </c>
      <c r="T251">
        <v>240</v>
      </c>
      <c r="U251" t="s">
        <v>1130</v>
      </c>
      <c r="V251" t="s">
        <v>1131</v>
      </c>
    </row>
    <row r="252" spans="12:22">
      <c r="L252" t="s">
        <v>518</v>
      </c>
      <c r="M252" t="s">
        <v>517</v>
      </c>
      <c r="N252" t="s">
        <v>518</v>
      </c>
      <c r="O252" t="s">
        <v>223</v>
      </c>
      <c r="P252" t="s">
        <v>224</v>
      </c>
      <c r="Q252" t="s">
        <v>519</v>
      </c>
      <c r="R252" t="s">
        <v>520</v>
      </c>
      <c r="S252" t="s">
        <v>1745</v>
      </c>
      <c r="T252">
        <v>-180</v>
      </c>
      <c r="U252" t="s">
        <v>521</v>
      </c>
      <c r="V252" t="s">
        <v>522</v>
      </c>
    </row>
    <row r="253" spans="12:22">
      <c r="L253" t="s">
        <v>638</v>
      </c>
      <c r="M253" t="s">
        <v>578</v>
      </c>
      <c r="N253" t="s">
        <v>638</v>
      </c>
      <c r="O253" t="s">
        <v>564</v>
      </c>
      <c r="P253" t="s">
        <v>565</v>
      </c>
      <c r="Q253" t="s">
        <v>656</v>
      </c>
      <c r="R253" t="s">
        <v>657</v>
      </c>
      <c r="S253" t="s">
        <v>1773</v>
      </c>
      <c r="T253">
        <v>0</v>
      </c>
      <c r="U253" t="s">
        <v>582</v>
      </c>
      <c r="V253" t="s">
        <v>658</v>
      </c>
    </row>
    <row r="254" spans="12:22">
      <c r="L254" t="s">
        <v>585</v>
      </c>
      <c r="M254" t="s">
        <v>578</v>
      </c>
      <c r="N254" t="s">
        <v>585</v>
      </c>
      <c r="O254" t="s">
        <v>572</v>
      </c>
      <c r="P254" t="s">
        <v>573</v>
      </c>
      <c r="Q254" t="s">
        <v>627</v>
      </c>
      <c r="R254" t="s">
        <v>628</v>
      </c>
      <c r="S254" t="s">
        <v>1765</v>
      </c>
      <c r="T254">
        <v>0</v>
      </c>
      <c r="U254" t="s">
        <v>582</v>
      </c>
      <c r="V254" t="s">
        <v>629</v>
      </c>
    </row>
    <row r="255" spans="12:22">
      <c r="L255" t="s">
        <v>745</v>
      </c>
      <c r="M255" t="s">
        <v>695</v>
      </c>
      <c r="N255" t="s">
        <v>745</v>
      </c>
      <c r="O255" t="s">
        <v>564</v>
      </c>
      <c r="P255" t="s">
        <v>565</v>
      </c>
      <c r="Q255" t="s">
        <v>746</v>
      </c>
      <c r="R255" t="s">
        <v>747</v>
      </c>
      <c r="S255" t="s">
        <v>746</v>
      </c>
      <c r="T255">
        <v>60</v>
      </c>
      <c r="U255" t="s">
        <v>699</v>
      </c>
      <c r="V255" t="s">
        <v>748</v>
      </c>
    </row>
    <row r="256" spans="12:22">
      <c r="L256" t="s">
        <v>432</v>
      </c>
      <c r="M256" t="s">
        <v>332</v>
      </c>
      <c r="N256" t="s">
        <v>432</v>
      </c>
      <c r="O256" t="s">
        <v>68</v>
      </c>
      <c r="P256" t="s">
        <v>69</v>
      </c>
      <c r="Q256" t="s">
        <v>433</v>
      </c>
      <c r="R256" t="s">
        <v>434</v>
      </c>
      <c r="S256" t="s">
        <v>1733</v>
      </c>
      <c r="T256">
        <v>-240</v>
      </c>
      <c r="U256" t="s">
        <v>336</v>
      </c>
      <c r="V256" t="s">
        <v>435</v>
      </c>
    </row>
    <row r="257" spans="12:22">
      <c r="L257" t="s">
        <v>546</v>
      </c>
      <c r="M257" t="s">
        <v>546</v>
      </c>
      <c r="N257" t="s">
        <v>546</v>
      </c>
      <c r="O257" t="s">
        <v>68</v>
      </c>
      <c r="P257" t="s">
        <v>69</v>
      </c>
      <c r="Q257" t="s">
        <v>433</v>
      </c>
      <c r="R257" t="s">
        <v>434</v>
      </c>
      <c r="S257" t="s">
        <v>1750</v>
      </c>
      <c r="T257">
        <v>-120</v>
      </c>
      <c r="U257" t="s">
        <v>547</v>
      </c>
      <c r="V257" t="s">
        <v>548</v>
      </c>
    </row>
    <row r="258" spans="12:22">
      <c r="L258" t="s">
        <v>546</v>
      </c>
      <c r="M258" t="s">
        <v>546</v>
      </c>
      <c r="N258" t="s">
        <v>549</v>
      </c>
      <c r="O258" t="s">
        <v>68</v>
      </c>
      <c r="P258" t="s">
        <v>69</v>
      </c>
      <c r="Q258" t="s">
        <v>433</v>
      </c>
      <c r="R258" t="s">
        <v>434</v>
      </c>
      <c r="S258" t="s">
        <v>1750</v>
      </c>
      <c r="T258">
        <v>-120</v>
      </c>
      <c r="U258" t="s">
        <v>547</v>
      </c>
      <c r="V258" t="s">
        <v>548</v>
      </c>
    </row>
    <row r="259" spans="12:22">
      <c r="L259" t="s">
        <v>546</v>
      </c>
      <c r="M259" t="s">
        <v>546</v>
      </c>
      <c r="N259" t="s">
        <v>550</v>
      </c>
      <c r="O259" t="s">
        <v>68</v>
      </c>
      <c r="P259" t="s">
        <v>69</v>
      </c>
      <c r="Q259" t="s">
        <v>433</v>
      </c>
      <c r="R259" t="s">
        <v>434</v>
      </c>
      <c r="S259" t="s">
        <v>1750</v>
      </c>
      <c r="T259">
        <v>-120</v>
      </c>
      <c r="U259" t="s">
        <v>547</v>
      </c>
      <c r="V259" t="s">
        <v>548</v>
      </c>
    </row>
    <row r="260" spans="12:22">
      <c r="L260" t="s">
        <v>610</v>
      </c>
      <c r="M260" t="s">
        <v>578</v>
      </c>
      <c r="N260" t="s">
        <v>610</v>
      </c>
      <c r="O260" t="s">
        <v>68</v>
      </c>
      <c r="P260" t="s">
        <v>69</v>
      </c>
      <c r="Q260" t="s">
        <v>433</v>
      </c>
      <c r="R260" t="s">
        <v>434</v>
      </c>
      <c r="S260" t="s">
        <v>1760</v>
      </c>
      <c r="T260">
        <v>0</v>
      </c>
      <c r="U260" t="s">
        <v>582</v>
      </c>
      <c r="V260" t="s">
        <v>611</v>
      </c>
    </row>
    <row r="261" spans="12:22">
      <c r="L261" t="s">
        <v>587</v>
      </c>
      <c r="M261" t="s">
        <v>578</v>
      </c>
      <c r="N261" t="s">
        <v>587</v>
      </c>
      <c r="O261" t="s">
        <v>572</v>
      </c>
      <c r="P261" t="s">
        <v>573</v>
      </c>
      <c r="Q261" t="s">
        <v>659</v>
      </c>
      <c r="R261" t="s">
        <v>660</v>
      </c>
      <c r="S261" t="s">
        <v>1774</v>
      </c>
      <c r="T261">
        <v>0</v>
      </c>
      <c r="U261" t="s">
        <v>582</v>
      </c>
      <c r="V261" t="s">
        <v>661</v>
      </c>
    </row>
    <row r="262" spans="12:22">
      <c r="L262" t="s">
        <v>588</v>
      </c>
      <c r="M262" t="s">
        <v>578</v>
      </c>
      <c r="N262" t="s">
        <v>588</v>
      </c>
      <c r="O262" t="s">
        <v>572</v>
      </c>
      <c r="P262" t="s">
        <v>573</v>
      </c>
      <c r="Q262" t="s">
        <v>604</v>
      </c>
      <c r="R262" t="s">
        <v>605</v>
      </c>
      <c r="S262" t="s">
        <v>1758</v>
      </c>
      <c r="T262">
        <v>0</v>
      </c>
      <c r="U262" t="s">
        <v>582</v>
      </c>
      <c r="V262" t="s">
        <v>606</v>
      </c>
    </row>
    <row r="263" spans="12:22">
      <c r="L263" t="s">
        <v>382</v>
      </c>
      <c r="M263" t="s">
        <v>332</v>
      </c>
      <c r="N263" t="s">
        <v>382</v>
      </c>
      <c r="O263" t="s">
        <v>68</v>
      </c>
      <c r="P263" t="s">
        <v>69</v>
      </c>
      <c r="Q263" t="s">
        <v>383</v>
      </c>
      <c r="R263" t="s">
        <v>384</v>
      </c>
      <c r="S263" t="s">
        <v>1721</v>
      </c>
      <c r="T263">
        <v>-240</v>
      </c>
      <c r="U263" t="s">
        <v>336</v>
      </c>
      <c r="V263" t="s">
        <v>385</v>
      </c>
    </row>
    <row r="264" spans="12:22">
      <c r="L264" t="s">
        <v>837</v>
      </c>
      <c r="M264" t="s">
        <v>831</v>
      </c>
      <c r="N264" t="s">
        <v>837</v>
      </c>
      <c r="O264" t="s">
        <v>572</v>
      </c>
      <c r="P264" t="s">
        <v>573</v>
      </c>
      <c r="Q264" t="s">
        <v>838</v>
      </c>
      <c r="R264" t="s">
        <v>839</v>
      </c>
      <c r="S264" t="s">
        <v>1815</v>
      </c>
      <c r="T264">
        <v>60</v>
      </c>
      <c r="U264" t="s">
        <v>835</v>
      </c>
      <c r="V264" t="s">
        <v>840</v>
      </c>
    </row>
    <row r="265" spans="12:22">
      <c r="L265" t="s">
        <v>916</v>
      </c>
      <c r="M265" t="s">
        <v>915</v>
      </c>
      <c r="N265" t="s">
        <v>916</v>
      </c>
      <c r="O265" t="s">
        <v>564</v>
      </c>
      <c r="P265" t="s">
        <v>565</v>
      </c>
      <c r="Q265" t="s">
        <v>917</v>
      </c>
      <c r="R265" t="s">
        <v>918</v>
      </c>
      <c r="S265" t="s">
        <v>1835</v>
      </c>
      <c r="T265">
        <v>120</v>
      </c>
      <c r="U265" t="s">
        <v>919</v>
      </c>
      <c r="V265" t="s">
        <v>920</v>
      </c>
    </row>
    <row r="266" spans="12:22">
      <c r="L266" t="s">
        <v>916</v>
      </c>
      <c r="M266" t="s">
        <v>915</v>
      </c>
      <c r="N266" t="s">
        <v>919</v>
      </c>
      <c r="O266" t="s">
        <v>564</v>
      </c>
      <c r="P266" t="s">
        <v>565</v>
      </c>
      <c r="Q266" t="s">
        <v>917</v>
      </c>
      <c r="R266" t="s">
        <v>918</v>
      </c>
      <c r="S266" t="s">
        <v>1835</v>
      </c>
      <c r="T266">
        <v>120</v>
      </c>
      <c r="U266" t="s">
        <v>919</v>
      </c>
      <c r="V266" t="s">
        <v>920</v>
      </c>
    </row>
    <row r="267" spans="12:22">
      <c r="L267" t="s">
        <v>557</v>
      </c>
      <c r="M267" t="s">
        <v>556</v>
      </c>
      <c r="N267" t="s">
        <v>557</v>
      </c>
      <c r="O267" t="s">
        <v>504</v>
      </c>
      <c r="P267" t="s">
        <v>505</v>
      </c>
      <c r="Q267" t="s">
        <v>558</v>
      </c>
      <c r="R267" t="s">
        <v>559</v>
      </c>
      <c r="S267" t="s">
        <v>1752</v>
      </c>
      <c r="T267">
        <v>-120</v>
      </c>
      <c r="U267" t="s">
        <v>560</v>
      </c>
      <c r="V267" t="s">
        <v>561</v>
      </c>
    </row>
    <row r="268" spans="12:22">
      <c r="L268" t="s">
        <v>181</v>
      </c>
      <c r="M268" t="s">
        <v>163</v>
      </c>
      <c r="N268" t="s">
        <v>181</v>
      </c>
      <c r="O268" t="s">
        <v>68</v>
      </c>
      <c r="P268" t="s">
        <v>69</v>
      </c>
      <c r="Q268" t="s">
        <v>182</v>
      </c>
      <c r="R268" t="s">
        <v>183</v>
      </c>
      <c r="S268" t="s">
        <v>1682</v>
      </c>
      <c r="T268">
        <v>-360</v>
      </c>
      <c r="U268" t="s">
        <v>167</v>
      </c>
      <c r="V268" t="s">
        <v>184</v>
      </c>
    </row>
    <row r="269" spans="12:22">
      <c r="L269" t="s">
        <v>1491</v>
      </c>
      <c r="M269" t="s">
        <v>1490</v>
      </c>
      <c r="N269" t="s">
        <v>1491</v>
      </c>
      <c r="O269" t="s">
        <v>42</v>
      </c>
      <c r="P269" t="s">
        <v>43</v>
      </c>
      <c r="Q269" t="s">
        <v>1492</v>
      </c>
      <c r="R269" t="s">
        <v>1493</v>
      </c>
      <c r="S269" t="s">
        <v>1943</v>
      </c>
      <c r="T269">
        <v>600</v>
      </c>
      <c r="U269" t="s">
        <v>1494</v>
      </c>
      <c r="V269" t="s">
        <v>1495</v>
      </c>
    </row>
    <row r="270" spans="12:22">
      <c r="L270" t="s">
        <v>1491</v>
      </c>
      <c r="M270" t="s">
        <v>1490</v>
      </c>
      <c r="N270" t="s">
        <v>1496</v>
      </c>
      <c r="O270" t="s">
        <v>42</v>
      </c>
      <c r="P270" t="s">
        <v>43</v>
      </c>
      <c r="Q270" t="s">
        <v>1492</v>
      </c>
      <c r="R270" t="s">
        <v>1493</v>
      </c>
      <c r="S270" t="s">
        <v>1943</v>
      </c>
      <c r="T270">
        <v>600</v>
      </c>
      <c r="U270" t="s">
        <v>1494</v>
      </c>
      <c r="V270" t="s">
        <v>1495</v>
      </c>
    </row>
    <row r="271" spans="12:22">
      <c r="L271" t="s">
        <v>600</v>
      </c>
      <c r="M271" t="s">
        <v>578</v>
      </c>
      <c r="N271" t="s">
        <v>600</v>
      </c>
      <c r="O271" t="s">
        <v>572</v>
      </c>
      <c r="P271" t="s">
        <v>573</v>
      </c>
      <c r="Q271" t="s">
        <v>601</v>
      </c>
      <c r="R271" t="s">
        <v>602</v>
      </c>
      <c r="S271" t="s">
        <v>1757</v>
      </c>
      <c r="T271">
        <v>0</v>
      </c>
      <c r="U271" t="s">
        <v>582</v>
      </c>
      <c r="V271" t="s">
        <v>603</v>
      </c>
    </row>
    <row r="272" spans="12:22">
      <c r="L272" t="s">
        <v>451</v>
      </c>
      <c r="M272" t="s">
        <v>450</v>
      </c>
      <c r="N272" t="s">
        <v>451</v>
      </c>
      <c r="O272" t="s">
        <v>223</v>
      </c>
      <c r="P272" t="s">
        <v>224</v>
      </c>
      <c r="Q272" t="s">
        <v>452</v>
      </c>
      <c r="R272" t="s">
        <v>453</v>
      </c>
      <c r="S272" t="s">
        <v>1737</v>
      </c>
      <c r="T272">
        <v>-240</v>
      </c>
      <c r="U272" t="s">
        <v>454</v>
      </c>
      <c r="V272" t="s">
        <v>455</v>
      </c>
    </row>
    <row r="273" spans="12:22">
      <c r="L273" t="s">
        <v>1378</v>
      </c>
      <c r="M273" t="s">
        <v>1377</v>
      </c>
      <c r="N273" t="s">
        <v>1378</v>
      </c>
      <c r="O273" t="s">
        <v>56</v>
      </c>
      <c r="P273" t="s">
        <v>922</v>
      </c>
      <c r="Q273" t="s">
        <v>1379</v>
      </c>
      <c r="R273" t="s">
        <v>1380</v>
      </c>
      <c r="S273" t="s">
        <v>1924</v>
      </c>
      <c r="T273">
        <v>480</v>
      </c>
      <c r="U273" t="s">
        <v>1381</v>
      </c>
      <c r="V273" t="s">
        <v>1382</v>
      </c>
    </row>
    <row r="274" spans="12:22">
      <c r="L274" t="s">
        <v>1378</v>
      </c>
      <c r="M274" t="s">
        <v>1377</v>
      </c>
      <c r="N274" t="s">
        <v>1383</v>
      </c>
      <c r="O274" t="s">
        <v>56</v>
      </c>
      <c r="P274" t="s">
        <v>922</v>
      </c>
      <c r="Q274" t="s">
        <v>1379</v>
      </c>
      <c r="R274" t="s">
        <v>1380</v>
      </c>
      <c r="S274" t="s">
        <v>1924</v>
      </c>
      <c r="T274">
        <v>480</v>
      </c>
      <c r="U274" t="s">
        <v>1381</v>
      </c>
      <c r="V274" t="s">
        <v>1382</v>
      </c>
    </row>
    <row r="275" spans="12:22">
      <c r="L275" t="s">
        <v>211</v>
      </c>
      <c r="M275" t="s">
        <v>163</v>
      </c>
      <c r="N275" t="s">
        <v>211</v>
      </c>
      <c r="O275" t="s">
        <v>68</v>
      </c>
      <c r="P275" t="s">
        <v>69</v>
      </c>
      <c r="Q275" t="s">
        <v>212</v>
      </c>
      <c r="R275" t="s">
        <v>213</v>
      </c>
      <c r="S275" t="s">
        <v>1689</v>
      </c>
      <c r="T275">
        <v>-360</v>
      </c>
      <c r="U275" t="s">
        <v>167</v>
      </c>
      <c r="V275" t="s">
        <v>214</v>
      </c>
    </row>
    <row r="276" spans="12:22">
      <c r="L276" t="s">
        <v>717</v>
      </c>
      <c r="M276" t="s">
        <v>695</v>
      </c>
      <c r="N276" t="s">
        <v>717</v>
      </c>
      <c r="O276" t="s">
        <v>564</v>
      </c>
      <c r="P276" t="s">
        <v>565</v>
      </c>
      <c r="Q276" t="s">
        <v>824</v>
      </c>
      <c r="R276" t="s">
        <v>825</v>
      </c>
      <c r="S276" t="s">
        <v>1812</v>
      </c>
      <c r="T276">
        <v>60</v>
      </c>
      <c r="U276" t="s">
        <v>699</v>
      </c>
      <c r="V276" t="s">
        <v>826</v>
      </c>
    </row>
    <row r="277" spans="12:22">
      <c r="L277" t="s">
        <v>301</v>
      </c>
      <c r="M277" t="s">
        <v>256</v>
      </c>
      <c r="N277" t="s">
        <v>301</v>
      </c>
      <c r="O277" t="s">
        <v>68</v>
      </c>
      <c r="P277" t="s">
        <v>69</v>
      </c>
      <c r="Q277" t="s">
        <v>302</v>
      </c>
      <c r="R277" t="s">
        <v>303</v>
      </c>
      <c r="S277" t="s">
        <v>1704</v>
      </c>
      <c r="T277">
        <v>-300</v>
      </c>
      <c r="U277" t="s">
        <v>258</v>
      </c>
      <c r="V277" t="s">
        <v>304</v>
      </c>
    </row>
    <row r="278" spans="12:22">
      <c r="L278" t="s">
        <v>738</v>
      </c>
      <c r="M278" t="s">
        <v>695</v>
      </c>
      <c r="N278" t="s">
        <v>738</v>
      </c>
      <c r="O278" t="s">
        <v>564</v>
      </c>
      <c r="P278" t="s">
        <v>565</v>
      </c>
      <c r="Q278" t="s">
        <v>739</v>
      </c>
      <c r="R278" t="s">
        <v>740</v>
      </c>
      <c r="S278" t="s">
        <v>1790</v>
      </c>
      <c r="T278">
        <v>60</v>
      </c>
      <c r="U278" t="s">
        <v>699</v>
      </c>
      <c r="V278" t="s">
        <v>741</v>
      </c>
    </row>
    <row r="279" spans="12:22">
      <c r="L279" t="s">
        <v>1340</v>
      </c>
      <c r="M279" t="s">
        <v>1339</v>
      </c>
      <c r="N279" t="s">
        <v>1340</v>
      </c>
      <c r="O279" t="s">
        <v>56</v>
      </c>
      <c r="P279" t="s">
        <v>922</v>
      </c>
      <c r="Q279" t="s">
        <v>1341</v>
      </c>
      <c r="R279" t="s">
        <v>1342</v>
      </c>
      <c r="S279" t="s">
        <v>1917</v>
      </c>
      <c r="T279">
        <v>420</v>
      </c>
      <c r="U279" t="s">
        <v>1343</v>
      </c>
      <c r="V279" t="s">
        <v>1344</v>
      </c>
    </row>
    <row r="280" spans="12:22">
      <c r="L280" t="s">
        <v>1340</v>
      </c>
      <c r="M280" t="s">
        <v>1339</v>
      </c>
      <c r="N280" t="s">
        <v>1345</v>
      </c>
      <c r="O280" t="s">
        <v>56</v>
      </c>
      <c r="P280" t="s">
        <v>922</v>
      </c>
      <c r="Q280" t="s">
        <v>1341</v>
      </c>
      <c r="R280" t="s">
        <v>1342</v>
      </c>
      <c r="S280" t="s">
        <v>1917</v>
      </c>
      <c r="T280">
        <v>420</v>
      </c>
      <c r="U280" t="s">
        <v>1343</v>
      </c>
      <c r="V280" t="s">
        <v>1344</v>
      </c>
    </row>
    <row r="281" spans="12:22">
      <c r="L281" t="s">
        <v>1362</v>
      </c>
      <c r="M281" t="s">
        <v>1361</v>
      </c>
      <c r="N281" t="s">
        <v>1362</v>
      </c>
      <c r="O281" t="s">
        <v>56</v>
      </c>
      <c r="P281" t="s">
        <v>922</v>
      </c>
      <c r="Q281" t="s">
        <v>1341</v>
      </c>
      <c r="R281" t="s">
        <v>1342</v>
      </c>
      <c r="S281" t="s">
        <v>1921</v>
      </c>
      <c r="T281">
        <v>480</v>
      </c>
      <c r="U281" t="s">
        <v>1363</v>
      </c>
      <c r="V281" t="s">
        <v>1364</v>
      </c>
    </row>
    <row r="282" spans="12:22">
      <c r="L282" t="s">
        <v>1362</v>
      </c>
      <c r="M282" t="s">
        <v>1361</v>
      </c>
      <c r="N282" t="s">
        <v>1365</v>
      </c>
      <c r="O282" t="s">
        <v>56</v>
      </c>
      <c r="P282" t="s">
        <v>922</v>
      </c>
      <c r="Q282" t="s">
        <v>1341</v>
      </c>
      <c r="R282" t="s">
        <v>1342</v>
      </c>
      <c r="S282" t="s">
        <v>1921</v>
      </c>
      <c r="T282">
        <v>480</v>
      </c>
      <c r="U282" t="s">
        <v>1363</v>
      </c>
      <c r="V282" t="s">
        <v>1364</v>
      </c>
    </row>
    <row r="283" spans="12:22">
      <c r="L283" t="s">
        <v>1431</v>
      </c>
      <c r="M283" t="s">
        <v>1430</v>
      </c>
      <c r="N283" t="s">
        <v>1431</v>
      </c>
      <c r="O283" t="s">
        <v>56</v>
      </c>
      <c r="P283" t="s">
        <v>922</v>
      </c>
      <c r="Q283" t="s">
        <v>1341</v>
      </c>
      <c r="R283" t="s">
        <v>1342</v>
      </c>
      <c r="S283" t="s">
        <v>1933</v>
      </c>
      <c r="T283">
        <v>540</v>
      </c>
      <c r="U283" t="s">
        <v>1432</v>
      </c>
      <c r="V283" t="s">
        <v>1433</v>
      </c>
    </row>
    <row r="284" spans="12:22">
      <c r="L284" t="s">
        <v>616</v>
      </c>
      <c r="M284" t="s">
        <v>578</v>
      </c>
      <c r="N284" t="s">
        <v>616</v>
      </c>
      <c r="O284" t="s">
        <v>564</v>
      </c>
      <c r="P284" t="s">
        <v>565</v>
      </c>
      <c r="Q284" t="s">
        <v>617</v>
      </c>
      <c r="R284" t="s">
        <v>618</v>
      </c>
      <c r="S284" t="s">
        <v>1762</v>
      </c>
      <c r="T284">
        <v>0</v>
      </c>
      <c r="U284" t="s">
        <v>582</v>
      </c>
      <c r="V284" t="s">
        <v>619</v>
      </c>
    </row>
    <row r="285" spans="12:22">
      <c r="L285" t="s">
        <v>616</v>
      </c>
      <c r="M285" t="s">
        <v>578</v>
      </c>
      <c r="N285" t="s">
        <v>620</v>
      </c>
      <c r="O285" t="s">
        <v>564</v>
      </c>
      <c r="P285" t="s">
        <v>565</v>
      </c>
      <c r="Q285" t="s">
        <v>617</v>
      </c>
      <c r="R285" t="s">
        <v>618</v>
      </c>
      <c r="S285" t="s">
        <v>1762</v>
      </c>
      <c r="T285">
        <v>0</v>
      </c>
      <c r="U285" t="s">
        <v>582</v>
      </c>
      <c r="V285" t="s">
        <v>619</v>
      </c>
    </row>
    <row r="286" spans="12:22">
      <c r="L286" t="s">
        <v>990</v>
      </c>
      <c r="M286" t="s">
        <v>989</v>
      </c>
      <c r="N286" t="s">
        <v>990</v>
      </c>
      <c r="O286" t="s">
        <v>56</v>
      </c>
      <c r="P286" t="s">
        <v>922</v>
      </c>
      <c r="Q286" t="s">
        <v>991</v>
      </c>
      <c r="R286" t="s">
        <v>992</v>
      </c>
      <c r="S286" t="s">
        <v>1851</v>
      </c>
      <c r="T286">
        <v>120</v>
      </c>
      <c r="U286" t="s">
        <v>993</v>
      </c>
      <c r="V286" t="s">
        <v>994</v>
      </c>
    </row>
    <row r="287" spans="12:22">
      <c r="L287" t="s">
        <v>990</v>
      </c>
      <c r="M287" t="s">
        <v>989</v>
      </c>
      <c r="N287" t="s">
        <v>991</v>
      </c>
      <c r="O287" t="s">
        <v>56</v>
      </c>
      <c r="P287" t="s">
        <v>922</v>
      </c>
      <c r="Q287" t="s">
        <v>991</v>
      </c>
      <c r="R287" t="s">
        <v>992</v>
      </c>
      <c r="S287" t="s">
        <v>1851</v>
      </c>
      <c r="T287">
        <v>120</v>
      </c>
      <c r="U287" t="s">
        <v>993</v>
      </c>
      <c r="V287" t="s">
        <v>994</v>
      </c>
    </row>
    <row r="288" spans="12:22">
      <c r="L288" t="s">
        <v>990</v>
      </c>
      <c r="M288" t="s">
        <v>989</v>
      </c>
      <c r="N288" t="s">
        <v>995</v>
      </c>
      <c r="O288" t="s">
        <v>56</v>
      </c>
      <c r="P288" t="s">
        <v>922</v>
      </c>
      <c r="Q288" t="s">
        <v>991</v>
      </c>
      <c r="R288" t="s">
        <v>992</v>
      </c>
      <c r="S288" t="s">
        <v>1851</v>
      </c>
      <c r="T288">
        <v>120</v>
      </c>
      <c r="U288" t="s">
        <v>993</v>
      </c>
      <c r="V288" t="s">
        <v>994</v>
      </c>
    </row>
    <row r="289" spans="12:22">
      <c r="L289" t="s">
        <v>612</v>
      </c>
      <c r="M289" t="s">
        <v>578</v>
      </c>
      <c r="N289" t="s">
        <v>612</v>
      </c>
      <c r="O289" t="s">
        <v>564</v>
      </c>
      <c r="P289" t="s">
        <v>565</v>
      </c>
      <c r="Q289" t="s">
        <v>613</v>
      </c>
      <c r="R289" t="s">
        <v>614</v>
      </c>
      <c r="S289" t="s">
        <v>1761</v>
      </c>
      <c r="T289">
        <v>0</v>
      </c>
      <c r="U289" t="s">
        <v>582</v>
      </c>
      <c r="V289" t="s">
        <v>615</v>
      </c>
    </row>
    <row r="290" spans="12:22">
      <c r="L290" t="s">
        <v>1235</v>
      </c>
      <c r="M290" t="s">
        <v>1230</v>
      </c>
      <c r="N290" t="s">
        <v>1235</v>
      </c>
      <c r="O290" t="s">
        <v>56</v>
      </c>
      <c r="P290" t="s">
        <v>922</v>
      </c>
      <c r="Q290" t="s">
        <v>1236</v>
      </c>
      <c r="R290" t="s">
        <v>1237</v>
      </c>
      <c r="S290" t="s">
        <v>1899</v>
      </c>
      <c r="T290">
        <v>330</v>
      </c>
      <c r="U290" t="s">
        <v>993</v>
      </c>
      <c r="V290" t="s">
        <v>1238</v>
      </c>
    </row>
    <row r="291" spans="12:22">
      <c r="L291" t="s">
        <v>1235</v>
      </c>
      <c r="M291" t="s">
        <v>1230</v>
      </c>
      <c r="N291" t="s">
        <v>1239</v>
      </c>
      <c r="O291" t="s">
        <v>56</v>
      </c>
      <c r="P291" t="s">
        <v>922</v>
      </c>
      <c r="Q291" t="s">
        <v>1236</v>
      </c>
      <c r="R291" t="s">
        <v>1237</v>
      </c>
      <c r="S291" t="s">
        <v>1899</v>
      </c>
      <c r="T291">
        <v>330</v>
      </c>
      <c r="U291" t="s">
        <v>993</v>
      </c>
      <c r="V291" t="s">
        <v>1238</v>
      </c>
    </row>
    <row r="292" spans="12:22">
      <c r="L292" t="s">
        <v>1268</v>
      </c>
      <c r="M292" t="s">
        <v>1267</v>
      </c>
      <c r="N292" t="s">
        <v>1268</v>
      </c>
      <c r="O292" t="s">
        <v>56</v>
      </c>
      <c r="P292" t="s">
        <v>922</v>
      </c>
      <c r="Q292" t="s">
        <v>1269</v>
      </c>
      <c r="R292" t="s">
        <v>1270</v>
      </c>
      <c r="S292" t="s">
        <v>1904</v>
      </c>
      <c r="T292">
        <v>360</v>
      </c>
      <c r="U292" t="s">
        <v>1271</v>
      </c>
      <c r="V292" t="s">
        <v>1272</v>
      </c>
    </row>
    <row r="293" spans="12:22">
      <c r="L293" t="s">
        <v>1019</v>
      </c>
      <c r="M293" t="s">
        <v>1010</v>
      </c>
      <c r="N293" t="s">
        <v>1019</v>
      </c>
      <c r="O293" t="s">
        <v>56</v>
      </c>
      <c r="P293" t="s">
        <v>922</v>
      </c>
      <c r="Q293" t="s">
        <v>1020</v>
      </c>
      <c r="R293" t="s">
        <v>1021</v>
      </c>
      <c r="S293" t="s">
        <v>1857</v>
      </c>
      <c r="T293">
        <v>180</v>
      </c>
      <c r="U293" t="s">
        <v>336</v>
      </c>
      <c r="V293" t="s">
        <v>1022</v>
      </c>
    </row>
    <row r="294" spans="12:22">
      <c r="L294" t="s">
        <v>1110</v>
      </c>
      <c r="M294" t="s">
        <v>1109</v>
      </c>
      <c r="N294" t="s">
        <v>1110</v>
      </c>
      <c r="O294" t="s">
        <v>56</v>
      </c>
      <c r="P294" t="s">
        <v>922</v>
      </c>
      <c r="Q294" t="s">
        <v>1111</v>
      </c>
      <c r="R294" t="s">
        <v>1112</v>
      </c>
      <c r="S294" t="s">
        <v>1878</v>
      </c>
      <c r="T294">
        <v>210</v>
      </c>
      <c r="U294" t="s">
        <v>1113</v>
      </c>
      <c r="V294" t="s">
        <v>1114</v>
      </c>
    </row>
    <row r="295" spans="12:22">
      <c r="L295" t="s">
        <v>1110</v>
      </c>
      <c r="M295" t="s">
        <v>1109</v>
      </c>
      <c r="N295" t="s">
        <v>1111</v>
      </c>
      <c r="O295" t="s">
        <v>56</v>
      </c>
      <c r="P295" t="s">
        <v>922</v>
      </c>
      <c r="Q295" t="s">
        <v>1111</v>
      </c>
      <c r="R295" t="s">
        <v>1112</v>
      </c>
      <c r="S295" t="s">
        <v>1878</v>
      </c>
      <c r="T295">
        <v>210</v>
      </c>
      <c r="U295" t="s">
        <v>1113</v>
      </c>
      <c r="V295" t="s">
        <v>1114</v>
      </c>
    </row>
    <row r="296" spans="12:22">
      <c r="L296" t="s">
        <v>594</v>
      </c>
      <c r="M296" t="s">
        <v>578</v>
      </c>
      <c r="N296" t="s">
        <v>594</v>
      </c>
      <c r="O296" t="s">
        <v>564</v>
      </c>
      <c r="P296" t="s">
        <v>565</v>
      </c>
      <c r="Q296" t="s">
        <v>584</v>
      </c>
      <c r="R296" t="s">
        <v>651</v>
      </c>
      <c r="S296" t="s">
        <v>1771</v>
      </c>
      <c r="T296">
        <v>0</v>
      </c>
      <c r="U296" t="s">
        <v>582</v>
      </c>
      <c r="V296" t="s">
        <v>652</v>
      </c>
    </row>
    <row r="297" spans="12:22">
      <c r="L297" t="s">
        <v>594</v>
      </c>
      <c r="M297" t="s">
        <v>578</v>
      </c>
      <c r="N297" t="s">
        <v>584</v>
      </c>
      <c r="O297" t="s">
        <v>564</v>
      </c>
      <c r="P297" t="s">
        <v>565</v>
      </c>
      <c r="Q297" t="s">
        <v>584</v>
      </c>
      <c r="R297" t="s">
        <v>651</v>
      </c>
      <c r="S297" t="s">
        <v>1771</v>
      </c>
      <c r="T297">
        <v>0</v>
      </c>
      <c r="U297" t="s">
        <v>582</v>
      </c>
      <c r="V297" t="s">
        <v>652</v>
      </c>
    </row>
    <row r="298" spans="12:22">
      <c r="L298" t="s">
        <v>779</v>
      </c>
      <c r="M298" t="s">
        <v>695</v>
      </c>
      <c r="N298" t="s">
        <v>779</v>
      </c>
      <c r="O298" t="s">
        <v>564</v>
      </c>
      <c r="P298" t="s">
        <v>565</v>
      </c>
      <c r="Q298" t="s">
        <v>780</v>
      </c>
      <c r="R298" t="s">
        <v>781</v>
      </c>
      <c r="S298" t="s">
        <v>1801</v>
      </c>
      <c r="T298">
        <v>60</v>
      </c>
      <c r="U298" t="s">
        <v>699</v>
      </c>
      <c r="V298" t="s">
        <v>782</v>
      </c>
    </row>
    <row r="299" spans="12:22">
      <c r="L299" t="s">
        <v>779</v>
      </c>
      <c r="M299" t="s">
        <v>695</v>
      </c>
      <c r="N299" t="s">
        <v>783</v>
      </c>
      <c r="O299" t="s">
        <v>564</v>
      </c>
      <c r="P299" t="s">
        <v>565</v>
      </c>
      <c r="Q299" t="s">
        <v>780</v>
      </c>
      <c r="R299" t="s">
        <v>781</v>
      </c>
      <c r="S299" t="s">
        <v>1801</v>
      </c>
      <c r="T299">
        <v>60</v>
      </c>
      <c r="U299" t="s">
        <v>699</v>
      </c>
      <c r="V299" t="s">
        <v>782</v>
      </c>
    </row>
    <row r="300" spans="12:22">
      <c r="L300" t="s">
        <v>779</v>
      </c>
      <c r="M300" t="s">
        <v>695</v>
      </c>
      <c r="N300" t="s">
        <v>784</v>
      </c>
      <c r="O300" t="s">
        <v>564</v>
      </c>
      <c r="P300" t="s">
        <v>565</v>
      </c>
      <c r="Q300" t="s">
        <v>780</v>
      </c>
      <c r="R300" t="s">
        <v>781</v>
      </c>
      <c r="S300" t="s">
        <v>1801</v>
      </c>
      <c r="T300">
        <v>60</v>
      </c>
      <c r="U300" t="s">
        <v>699</v>
      </c>
      <c r="V300" t="s">
        <v>782</v>
      </c>
    </row>
    <row r="301" spans="12:22">
      <c r="L301" t="s">
        <v>639</v>
      </c>
      <c r="M301" t="s">
        <v>578</v>
      </c>
      <c r="N301" t="s">
        <v>639</v>
      </c>
      <c r="O301" t="s">
        <v>564</v>
      </c>
      <c r="P301" t="s">
        <v>565</v>
      </c>
      <c r="Q301" t="s">
        <v>653</v>
      </c>
      <c r="R301" t="s">
        <v>654</v>
      </c>
      <c r="S301" t="s">
        <v>1772</v>
      </c>
      <c r="T301">
        <v>0</v>
      </c>
      <c r="U301" t="s">
        <v>582</v>
      </c>
      <c r="V301" t="s">
        <v>655</v>
      </c>
    </row>
    <row r="302" spans="12:22">
      <c r="L302" t="s">
        <v>270</v>
      </c>
      <c r="M302" t="s">
        <v>256</v>
      </c>
      <c r="N302" t="s">
        <v>270</v>
      </c>
      <c r="O302" t="s">
        <v>68</v>
      </c>
      <c r="P302" t="s">
        <v>69</v>
      </c>
      <c r="Q302" t="s">
        <v>271</v>
      </c>
      <c r="R302" t="s">
        <v>272</v>
      </c>
      <c r="S302" t="s">
        <v>1700</v>
      </c>
      <c r="T302">
        <v>-300</v>
      </c>
      <c r="U302" t="s">
        <v>258</v>
      </c>
      <c r="V302" t="s">
        <v>273</v>
      </c>
    </row>
    <row r="303" spans="12:22">
      <c r="L303" t="s">
        <v>270</v>
      </c>
      <c r="M303" t="s">
        <v>256</v>
      </c>
      <c r="N303" t="s">
        <v>271</v>
      </c>
      <c r="O303" t="s">
        <v>68</v>
      </c>
      <c r="P303" t="s">
        <v>69</v>
      </c>
      <c r="Q303" t="s">
        <v>271</v>
      </c>
      <c r="R303" t="s">
        <v>272</v>
      </c>
      <c r="S303" t="s">
        <v>1700</v>
      </c>
      <c r="T303">
        <v>-300</v>
      </c>
      <c r="U303" t="s">
        <v>258</v>
      </c>
      <c r="V303" t="s">
        <v>273</v>
      </c>
    </row>
    <row r="304" spans="12:22">
      <c r="L304" t="s">
        <v>1035</v>
      </c>
      <c r="M304" t="s">
        <v>1035</v>
      </c>
      <c r="N304" t="s">
        <v>1035</v>
      </c>
      <c r="O304" t="s">
        <v>56</v>
      </c>
      <c r="P304" t="s">
        <v>922</v>
      </c>
      <c r="Q304" t="s">
        <v>1036</v>
      </c>
      <c r="R304" t="s">
        <v>1037</v>
      </c>
      <c r="S304" t="s">
        <v>1861</v>
      </c>
      <c r="T304">
        <v>180</v>
      </c>
      <c r="U304" t="s">
        <v>1038</v>
      </c>
      <c r="V304" t="s">
        <v>1039</v>
      </c>
    </row>
    <row r="305" spans="12:22">
      <c r="L305" t="s">
        <v>1435</v>
      </c>
      <c r="M305" t="s">
        <v>1434</v>
      </c>
      <c r="N305" t="s">
        <v>1435</v>
      </c>
      <c r="O305" t="s">
        <v>56</v>
      </c>
      <c r="P305" t="s">
        <v>922</v>
      </c>
      <c r="Q305" t="s">
        <v>1436</v>
      </c>
      <c r="R305" t="s">
        <v>1437</v>
      </c>
      <c r="S305" t="s">
        <v>1934</v>
      </c>
      <c r="T305">
        <v>540</v>
      </c>
      <c r="U305" t="s">
        <v>1438</v>
      </c>
      <c r="V305" t="s">
        <v>1439</v>
      </c>
    </row>
    <row r="306" spans="12:22">
      <c r="L306" t="s">
        <v>1435</v>
      </c>
      <c r="M306" t="s">
        <v>1434</v>
      </c>
      <c r="N306" t="s">
        <v>1436</v>
      </c>
      <c r="O306" t="s">
        <v>56</v>
      </c>
      <c r="P306" t="s">
        <v>922</v>
      </c>
      <c r="Q306" t="s">
        <v>1436</v>
      </c>
      <c r="R306" t="s">
        <v>1437</v>
      </c>
      <c r="S306" t="s">
        <v>1934</v>
      </c>
      <c r="T306">
        <v>540</v>
      </c>
      <c r="U306" t="s">
        <v>1438</v>
      </c>
      <c r="V306" t="s">
        <v>1439</v>
      </c>
    </row>
    <row r="307" spans="12:22">
      <c r="L307" t="s">
        <v>1081</v>
      </c>
      <c r="M307" t="s">
        <v>1044</v>
      </c>
      <c r="N307" t="s">
        <v>1081</v>
      </c>
      <c r="O307" t="s">
        <v>572</v>
      </c>
      <c r="P307" t="s">
        <v>573</v>
      </c>
      <c r="Q307" t="s">
        <v>1082</v>
      </c>
      <c r="R307" t="s">
        <v>1083</v>
      </c>
      <c r="S307" t="s">
        <v>1872</v>
      </c>
      <c r="T307">
        <v>180</v>
      </c>
      <c r="U307" t="s">
        <v>1048</v>
      </c>
      <c r="V307" t="s">
        <v>1084</v>
      </c>
    </row>
    <row r="308" spans="12:22">
      <c r="L308" t="s">
        <v>1081</v>
      </c>
      <c r="M308" t="s">
        <v>1044</v>
      </c>
      <c r="N308" t="s">
        <v>1045</v>
      </c>
      <c r="O308" t="s">
        <v>572</v>
      </c>
      <c r="P308" t="s">
        <v>573</v>
      </c>
      <c r="Q308" t="s">
        <v>1082</v>
      </c>
      <c r="R308" t="s">
        <v>1083</v>
      </c>
      <c r="S308" t="s">
        <v>1872</v>
      </c>
      <c r="T308">
        <v>180</v>
      </c>
      <c r="U308" t="s">
        <v>1048</v>
      </c>
      <c r="V308" t="s">
        <v>1084</v>
      </c>
    </row>
    <row r="309" spans="12:22">
      <c r="L309" t="s">
        <v>1081</v>
      </c>
      <c r="M309" t="s">
        <v>1044</v>
      </c>
      <c r="N309" t="s">
        <v>1054</v>
      </c>
      <c r="O309" t="s">
        <v>572</v>
      </c>
      <c r="P309" t="s">
        <v>573</v>
      </c>
      <c r="Q309" t="s">
        <v>1082</v>
      </c>
      <c r="R309" t="s">
        <v>1083</v>
      </c>
      <c r="S309" t="s">
        <v>1872</v>
      </c>
      <c r="T309">
        <v>180</v>
      </c>
      <c r="U309" t="s">
        <v>1048</v>
      </c>
      <c r="V309" t="s">
        <v>1084</v>
      </c>
    </row>
    <row r="310" spans="12:22">
      <c r="L310" t="s">
        <v>1081</v>
      </c>
      <c r="M310" t="s">
        <v>1044</v>
      </c>
      <c r="N310" t="s">
        <v>1058</v>
      </c>
      <c r="O310" t="s">
        <v>572</v>
      </c>
      <c r="P310" t="s">
        <v>573</v>
      </c>
      <c r="Q310" t="s">
        <v>1082</v>
      </c>
      <c r="R310" t="s">
        <v>1083</v>
      </c>
      <c r="S310" t="s">
        <v>1872</v>
      </c>
      <c r="T310">
        <v>180</v>
      </c>
      <c r="U310" t="s">
        <v>1048</v>
      </c>
      <c r="V310" t="s">
        <v>1084</v>
      </c>
    </row>
    <row r="311" spans="12:22">
      <c r="L311" t="s">
        <v>1081</v>
      </c>
      <c r="M311" t="s">
        <v>1044</v>
      </c>
      <c r="N311" t="s">
        <v>1062</v>
      </c>
      <c r="O311" t="s">
        <v>572</v>
      </c>
      <c r="P311" t="s">
        <v>573</v>
      </c>
      <c r="Q311" t="s">
        <v>1082</v>
      </c>
      <c r="R311" t="s">
        <v>1083</v>
      </c>
      <c r="S311" t="s">
        <v>1872</v>
      </c>
      <c r="T311">
        <v>180</v>
      </c>
      <c r="U311" t="s">
        <v>1048</v>
      </c>
      <c r="V311" t="s">
        <v>1084</v>
      </c>
    </row>
    <row r="312" spans="12:22">
      <c r="L312" t="s">
        <v>1081</v>
      </c>
      <c r="M312" t="s">
        <v>1044</v>
      </c>
      <c r="N312" t="s">
        <v>1066</v>
      </c>
      <c r="O312" t="s">
        <v>572</v>
      </c>
      <c r="P312" t="s">
        <v>573</v>
      </c>
      <c r="Q312" t="s">
        <v>1082</v>
      </c>
      <c r="R312" t="s">
        <v>1083</v>
      </c>
      <c r="S312" t="s">
        <v>1872</v>
      </c>
      <c r="T312">
        <v>180</v>
      </c>
      <c r="U312" t="s">
        <v>1048</v>
      </c>
      <c r="V312" t="s">
        <v>1084</v>
      </c>
    </row>
    <row r="313" spans="12:22">
      <c r="L313" t="s">
        <v>1081</v>
      </c>
      <c r="M313" t="s">
        <v>1044</v>
      </c>
      <c r="N313" t="s">
        <v>1073</v>
      </c>
      <c r="O313" t="s">
        <v>572</v>
      </c>
      <c r="P313" t="s">
        <v>573</v>
      </c>
      <c r="Q313" t="s">
        <v>1082</v>
      </c>
      <c r="R313" t="s">
        <v>1083</v>
      </c>
      <c r="S313" t="s">
        <v>1872</v>
      </c>
      <c r="T313">
        <v>180</v>
      </c>
      <c r="U313" t="s">
        <v>1048</v>
      </c>
      <c r="V313" t="s">
        <v>1084</v>
      </c>
    </row>
    <row r="314" spans="12:22">
      <c r="L314" t="s">
        <v>1081</v>
      </c>
      <c r="M314" t="s">
        <v>1044</v>
      </c>
      <c r="N314" t="s">
        <v>1050</v>
      </c>
      <c r="O314" t="s">
        <v>572</v>
      </c>
      <c r="P314" t="s">
        <v>573</v>
      </c>
      <c r="Q314" t="s">
        <v>1082</v>
      </c>
      <c r="R314" t="s">
        <v>1083</v>
      </c>
      <c r="S314" t="s">
        <v>1872</v>
      </c>
      <c r="T314">
        <v>180</v>
      </c>
      <c r="U314" t="s">
        <v>1048</v>
      </c>
      <c r="V314" t="s">
        <v>1084</v>
      </c>
    </row>
    <row r="315" spans="12:22">
      <c r="L315" t="s">
        <v>1081</v>
      </c>
      <c r="M315" t="s">
        <v>1044</v>
      </c>
      <c r="N315" t="s">
        <v>1077</v>
      </c>
      <c r="O315" t="s">
        <v>572</v>
      </c>
      <c r="P315" t="s">
        <v>573</v>
      </c>
      <c r="Q315" t="s">
        <v>1082</v>
      </c>
      <c r="R315" t="s">
        <v>1083</v>
      </c>
      <c r="S315" t="s">
        <v>1872</v>
      </c>
      <c r="T315">
        <v>180</v>
      </c>
      <c r="U315" t="s">
        <v>1048</v>
      </c>
      <c r="V315" t="s">
        <v>1084</v>
      </c>
    </row>
    <row r="316" spans="12:22">
      <c r="L316" t="s">
        <v>1081</v>
      </c>
      <c r="M316" t="s">
        <v>1044</v>
      </c>
      <c r="N316" t="s">
        <v>1070</v>
      </c>
      <c r="O316" t="s">
        <v>572</v>
      </c>
      <c r="P316" t="s">
        <v>573</v>
      </c>
      <c r="Q316" t="s">
        <v>1082</v>
      </c>
      <c r="R316" t="s">
        <v>1083</v>
      </c>
      <c r="S316" t="s">
        <v>1872</v>
      </c>
      <c r="T316">
        <v>180</v>
      </c>
      <c r="U316" t="s">
        <v>1048</v>
      </c>
      <c r="V316" t="s">
        <v>1084</v>
      </c>
    </row>
    <row r="317" spans="12:22">
      <c r="L317" t="s">
        <v>1081</v>
      </c>
      <c r="M317" t="s">
        <v>1044</v>
      </c>
      <c r="N317" t="s">
        <v>1085</v>
      </c>
      <c r="O317" t="s">
        <v>572</v>
      </c>
      <c r="P317" t="s">
        <v>573</v>
      </c>
      <c r="Q317" t="s">
        <v>1082</v>
      </c>
      <c r="R317" t="s">
        <v>1083</v>
      </c>
      <c r="S317" t="s">
        <v>1872</v>
      </c>
      <c r="T317">
        <v>180</v>
      </c>
      <c r="U317" t="s">
        <v>1048</v>
      </c>
      <c r="V317" t="s">
        <v>1084</v>
      </c>
    </row>
    <row r="318" spans="12:22">
      <c r="L318" t="s">
        <v>1274</v>
      </c>
      <c r="M318" t="s">
        <v>1273</v>
      </c>
      <c r="N318" t="s">
        <v>1274</v>
      </c>
      <c r="O318" t="s">
        <v>56</v>
      </c>
      <c r="P318" t="s">
        <v>922</v>
      </c>
      <c r="Q318" t="s">
        <v>1275</v>
      </c>
      <c r="R318" t="s">
        <v>1276</v>
      </c>
      <c r="S318" t="s">
        <v>1905</v>
      </c>
      <c r="T318">
        <v>360</v>
      </c>
      <c r="U318" t="s">
        <v>1277</v>
      </c>
      <c r="V318" t="s">
        <v>1278</v>
      </c>
    </row>
    <row r="319" spans="12:22">
      <c r="L319" t="s">
        <v>1318</v>
      </c>
      <c r="M319" t="s">
        <v>1312</v>
      </c>
      <c r="N319" t="s">
        <v>1318</v>
      </c>
      <c r="O319" t="s">
        <v>56</v>
      </c>
      <c r="P319" t="s">
        <v>922</v>
      </c>
      <c r="Q319" t="s">
        <v>1325</v>
      </c>
      <c r="R319" t="s">
        <v>1326</v>
      </c>
      <c r="S319" t="s">
        <v>1914</v>
      </c>
      <c r="T319">
        <v>420</v>
      </c>
      <c r="U319" t="s">
        <v>1316</v>
      </c>
      <c r="V319" t="s">
        <v>1327</v>
      </c>
    </row>
    <row r="320" spans="12:22">
      <c r="L320" t="s">
        <v>1574</v>
      </c>
      <c r="M320" t="s">
        <v>1573</v>
      </c>
      <c r="N320" t="s">
        <v>1574</v>
      </c>
      <c r="O320" t="s">
        <v>42</v>
      </c>
      <c r="P320" t="s">
        <v>43</v>
      </c>
      <c r="Q320" t="s">
        <v>1575</v>
      </c>
      <c r="R320" t="s">
        <v>1576</v>
      </c>
      <c r="S320" t="s">
        <v>1958</v>
      </c>
      <c r="T320">
        <v>720</v>
      </c>
      <c r="U320" t="s">
        <v>1577</v>
      </c>
      <c r="V320" t="s">
        <v>1578</v>
      </c>
    </row>
    <row r="321" spans="12:22">
      <c r="L321" t="s">
        <v>1574</v>
      </c>
      <c r="M321" t="s">
        <v>1573</v>
      </c>
      <c r="N321" t="s">
        <v>1579</v>
      </c>
      <c r="O321" t="s">
        <v>42</v>
      </c>
      <c r="P321" t="s">
        <v>43</v>
      </c>
      <c r="Q321" t="s">
        <v>1575</v>
      </c>
      <c r="R321" t="s">
        <v>1576</v>
      </c>
      <c r="S321" t="s">
        <v>1958</v>
      </c>
      <c r="T321">
        <v>720</v>
      </c>
      <c r="U321" t="s">
        <v>1577</v>
      </c>
      <c r="V321" t="s">
        <v>1578</v>
      </c>
    </row>
    <row r="322" spans="12:22">
      <c r="L322" t="s">
        <v>1574</v>
      </c>
      <c r="M322" t="s">
        <v>1573</v>
      </c>
      <c r="N322" t="s">
        <v>1580</v>
      </c>
      <c r="O322" t="s">
        <v>42</v>
      </c>
      <c r="P322" t="s">
        <v>43</v>
      </c>
      <c r="Q322" t="s">
        <v>1575</v>
      </c>
      <c r="R322" t="s">
        <v>1576</v>
      </c>
      <c r="S322" t="s">
        <v>1958</v>
      </c>
      <c r="T322">
        <v>720</v>
      </c>
      <c r="U322" t="s">
        <v>1577</v>
      </c>
      <c r="V322" t="s">
        <v>1578</v>
      </c>
    </row>
    <row r="323" spans="12:22">
      <c r="L323" t="s">
        <v>1574</v>
      </c>
      <c r="M323" t="s">
        <v>1573</v>
      </c>
      <c r="N323" t="s">
        <v>1581</v>
      </c>
      <c r="O323" t="s">
        <v>42</v>
      </c>
      <c r="P323" t="s">
        <v>43</v>
      </c>
      <c r="Q323" t="s">
        <v>1575</v>
      </c>
      <c r="R323" t="s">
        <v>1576</v>
      </c>
      <c r="S323" t="s">
        <v>1958</v>
      </c>
      <c r="T323">
        <v>720</v>
      </c>
      <c r="U323" t="s">
        <v>1577</v>
      </c>
      <c r="V323" t="s">
        <v>1578</v>
      </c>
    </row>
    <row r="324" spans="12:22">
      <c r="L324" t="s">
        <v>1574</v>
      </c>
      <c r="M324" t="s">
        <v>1573</v>
      </c>
      <c r="N324" t="s">
        <v>1582</v>
      </c>
      <c r="O324" t="s">
        <v>42</v>
      </c>
      <c r="P324" t="s">
        <v>43</v>
      </c>
      <c r="Q324" t="s">
        <v>1575</v>
      </c>
      <c r="R324" t="s">
        <v>1576</v>
      </c>
      <c r="S324" t="s">
        <v>1958</v>
      </c>
      <c r="T324">
        <v>720</v>
      </c>
      <c r="U324" t="s">
        <v>1577</v>
      </c>
      <c r="V324" t="s">
        <v>1578</v>
      </c>
    </row>
    <row r="325" spans="12:22">
      <c r="L325" t="s">
        <v>1635</v>
      </c>
      <c r="M325" t="s">
        <v>1634</v>
      </c>
      <c r="N325" t="s">
        <v>1635</v>
      </c>
      <c r="O325" t="s">
        <v>42</v>
      </c>
      <c r="P325" t="s">
        <v>43</v>
      </c>
      <c r="Q325" t="s">
        <v>1575</v>
      </c>
      <c r="R325" t="s">
        <v>1576</v>
      </c>
      <c r="S325" t="s">
        <v>1969</v>
      </c>
      <c r="T325">
        <v>780</v>
      </c>
      <c r="U325" t="s">
        <v>1636</v>
      </c>
      <c r="V325" t="s">
        <v>1637</v>
      </c>
    </row>
    <row r="326" spans="12:22">
      <c r="L326" t="s">
        <v>1635</v>
      </c>
      <c r="M326" t="s">
        <v>1634</v>
      </c>
      <c r="N326" t="s">
        <v>1638</v>
      </c>
      <c r="O326" t="s">
        <v>42</v>
      </c>
      <c r="P326" t="s">
        <v>43</v>
      </c>
      <c r="Q326" t="s">
        <v>1575</v>
      </c>
      <c r="R326" t="s">
        <v>1576</v>
      </c>
      <c r="S326" t="s">
        <v>1969</v>
      </c>
      <c r="T326">
        <v>780</v>
      </c>
      <c r="U326" t="s">
        <v>1636</v>
      </c>
      <c r="V326" t="s">
        <v>1637</v>
      </c>
    </row>
    <row r="327" spans="12:22">
      <c r="L327" t="s">
        <v>1652</v>
      </c>
      <c r="M327" t="s">
        <v>1651</v>
      </c>
      <c r="N327" t="s">
        <v>1652</v>
      </c>
      <c r="O327" t="s">
        <v>42</v>
      </c>
      <c r="P327" t="s">
        <v>43</v>
      </c>
      <c r="Q327" t="s">
        <v>1575</v>
      </c>
      <c r="R327" t="s">
        <v>1576</v>
      </c>
      <c r="S327" t="s">
        <v>1972</v>
      </c>
      <c r="T327">
        <v>840</v>
      </c>
      <c r="U327" t="s">
        <v>1653</v>
      </c>
      <c r="V327" t="s">
        <v>1654</v>
      </c>
    </row>
    <row r="328" spans="12:22">
      <c r="L328" t="s">
        <v>1077</v>
      </c>
      <c r="M328" t="s">
        <v>1044</v>
      </c>
      <c r="N328" t="s">
        <v>1077</v>
      </c>
      <c r="O328" t="s">
        <v>572</v>
      </c>
      <c r="P328" t="s">
        <v>573</v>
      </c>
      <c r="Q328" t="s">
        <v>1078</v>
      </c>
      <c r="R328" t="s">
        <v>1079</v>
      </c>
      <c r="S328" t="s">
        <v>1871</v>
      </c>
      <c r="T328">
        <v>180</v>
      </c>
      <c r="U328" t="s">
        <v>1048</v>
      </c>
      <c r="V328" t="s">
        <v>1080</v>
      </c>
    </row>
    <row r="329" spans="12:22">
      <c r="L329" t="s">
        <v>333</v>
      </c>
      <c r="M329" t="s">
        <v>332</v>
      </c>
      <c r="N329" t="s">
        <v>333</v>
      </c>
      <c r="O329" t="s">
        <v>68</v>
      </c>
      <c r="P329" t="s">
        <v>69</v>
      </c>
      <c r="Q329" t="s">
        <v>334</v>
      </c>
      <c r="R329" t="s">
        <v>335</v>
      </c>
      <c r="S329" t="s">
        <v>1709</v>
      </c>
      <c r="T329">
        <v>-240</v>
      </c>
      <c r="U329" t="s">
        <v>336</v>
      </c>
      <c r="V329" t="s">
        <v>337</v>
      </c>
    </row>
    <row r="330" spans="12:22">
      <c r="L330" t="s">
        <v>1441</v>
      </c>
      <c r="M330" t="s">
        <v>1440</v>
      </c>
      <c r="N330" t="s">
        <v>1441</v>
      </c>
      <c r="O330" t="s">
        <v>56</v>
      </c>
      <c r="P330" t="s">
        <v>922</v>
      </c>
      <c r="Q330" t="s">
        <v>1442</v>
      </c>
      <c r="R330" t="s">
        <v>1443</v>
      </c>
      <c r="S330" t="s">
        <v>1935</v>
      </c>
      <c r="T330">
        <v>540</v>
      </c>
      <c r="U330" t="s">
        <v>1444</v>
      </c>
      <c r="V330" t="s">
        <v>1445</v>
      </c>
    </row>
    <row r="331" spans="12:22">
      <c r="L331" t="s">
        <v>1446</v>
      </c>
      <c r="M331" t="s">
        <v>1440</v>
      </c>
      <c r="N331" t="s">
        <v>1446</v>
      </c>
      <c r="O331" t="s">
        <v>56</v>
      </c>
      <c r="P331" t="s">
        <v>922</v>
      </c>
      <c r="Q331" t="s">
        <v>1447</v>
      </c>
      <c r="R331" t="s">
        <v>1448</v>
      </c>
      <c r="S331" t="s">
        <v>1936</v>
      </c>
      <c r="T331">
        <v>540</v>
      </c>
      <c r="U331" t="s">
        <v>1444</v>
      </c>
      <c r="V331" t="s">
        <v>1449</v>
      </c>
    </row>
    <row r="332" spans="12:22">
      <c r="L332" t="s">
        <v>1446</v>
      </c>
      <c r="M332" t="s">
        <v>1440</v>
      </c>
      <c r="N332" t="s">
        <v>1450</v>
      </c>
      <c r="O332" t="s">
        <v>56</v>
      </c>
      <c r="P332" t="s">
        <v>922</v>
      </c>
      <c r="Q332" t="s">
        <v>1447</v>
      </c>
      <c r="R332" t="s">
        <v>1448</v>
      </c>
      <c r="S332" t="s">
        <v>1936</v>
      </c>
      <c r="T332">
        <v>540</v>
      </c>
      <c r="U332" t="s">
        <v>1444</v>
      </c>
      <c r="V332" t="s">
        <v>1449</v>
      </c>
    </row>
    <row r="333" spans="12:22">
      <c r="L333" t="s">
        <v>1011</v>
      </c>
      <c r="M333" t="s">
        <v>1010</v>
      </c>
      <c r="N333" t="s">
        <v>1011</v>
      </c>
      <c r="O333" t="s">
        <v>56</v>
      </c>
      <c r="P333" t="s">
        <v>922</v>
      </c>
      <c r="Q333" t="s">
        <v>1012</v>
      </c>
      <c r="R333" t="s">
        <v>1013</v>
      </c>
      <c r="S333" t="s">
        <v>1855</v>
      </c>
      <c r="T333">
        <v>180</v>
      </c>
      <c r="U333" t="s">
        <v>336</v>
      </c>
      <c r="V333" t="s">
        <v>1014</v>
      </c>
    </row>
    <row r="334" spans="12:22">
      <c r="L334" t="s">
        <v>266</v>
      </c>
      <c r="M334" t="s">
        <v>256</v>
      </c>
      <c r="N334" t="s">
        <v>266</v>
      </c>
      <c r="O334" t="s">
        <v>68</v>
      </c>
      <c r="P334" t="s">
        <v>69</v>
      </c>
      <c r="Q334" t="s">
        <v>267</v>
      </c>
      <c r="R334" t="s">
        <v>268</v>
      </c>
      <c r="S334" t="s">
        <v>1699</v>
      </c>
      <c r="T334">
        <v>-300</v>
      </c>
      <c r="U334" t="s">
        <v>258</v>
      </c>
      <c r="V334" t="s">
        <v>269</v>
      </c>
    </row>
    <row r="335" spans="12:22">
      <c r="L335" t="s">
        <v>1215</v>
      </c>
      <c r="M335" t="s">
        <v>1214</v>
      </c>
      <c r="N335" t="s">
        <v>1215</v>
      </c>
      <c r="O335" t="s">
        <v>56</v>
      </c>
      <c r="P335" t="s">
        <v>922</v>
      </c>
      <c r="Q335" t="s">
        <v>1216</v>
      </c>
      <c r="R335" t="s">
        <v>1217</v>
      </c>
      <c r="S335" t="s">
        <v>1896</v>
      </c>
      <c r="T335">
        <v>300</v>
      </c>
      <c r="U335" t="s">
        <v>1218</v>
      </c>
      <c r="V335" t="s">
        <v>1219</v>
      </c>
    </row>
    <row r="336" spans="12:22">
      <c r="L336" t="s">
        <v>1215</v>
      </c>
      <c r="M336" t="s">
        <v>1214</v>
      </c>
      <c r="N336" t="s">
        <v>1220</v>
      </c>
      <c r="O336" t="s">
        <v>56</v>
      </c>
      <c r="P336" t="s">
        <v>922</v>
      </c>
      <c r="Q336" t="s">
        <v>1216</v>
      </c>
      <c r="R336" t="s">
        <v>1217</v>
      </c>
      <c r="S336" t="s">
        <v>1896</v>
      </c>
      <c r="T336">
        <v>300</v>
      </c>
      <c r="U336" t="s">
        <v>1218</v>
      </c>
      <c r="V336" t="s">
        <v>1219</v>
      </c>
    </row>
    <row r="337" spans="12:22">
      <c r="L337" t="s">
        <v>1215</v>
      </c>
      <c r="M337" t="s">
        <v>1214</v>
      </c>
      <c r="N337" t="s">
        <v>1221</v>
      </c>
      <c r="O337" t="s">
        <v>56</v>
      </c>
      <c r="P337" t="s">
        <v>922</v>
      </c>
      <c r="Q337" t="s">
        <v>1216</v>
      </c>
      <c r="R337" t="s">
        <v>1217</v>
      </c>
      <c r="S337" t="s">
        <v>1896</v>
      </c>
      <c r="T337">
        <v>300</v>
      </c>
      <c r="U337" t="s">
        <v>1218</v>
      </c>
      <c r="V337" t="s">
        <v>1219</v>
      </c>
    </row>
    <row r="338" spans="12:22">
      <c r="L338" t="s">
        <v>1215</v>
      </c>
      <c r="M338" t="s">
        <v>1214</v>
      </c>
      <c r="N338" t="s">
        <v>1222</v>
      </c>
      <c r="O338" t="s">
        <v>56</v>
      </c>
      <c r="P338" t="s">
        <v>922</v>
      </c>
      <c r="Q338" t="s">
        <v>1216</v>
      </c>
      <c r="R338" t="s">
        <v>1217</v>
      </c>
      <c r="S338" t="s">
        <v>1896</v>
      </c>
      <c r="T338">
        <v>300</v>
      </c>
      <c r="U338" t="s">
        <v>1218</v>
      </c>
      <c r="V338" t="s">
        <v>1219</v>
      </c>
    </row>
    <row r="339" spans="12:22">
      <c r="L339" t="s">
        <v>1215</v>
      </c>
      <c r="M339" t="s">
        <v>1214</v>
      </c>
      <c r="N339" t="s">
        <v>1223</v>
      </c>
      <c r="O339" t="s">
        <v>56</v>
      </c>
      <c r="P339" t="s">
        <v>922</v>
      </c>
      <c r="Q339" t="s">
        <v>1216</v>
      </c>
      <c r="R339" t="s">
        <v>1217</v>
      </c>
      <c r="S339" t="s">
        <v>1896</v>
      </c>
      <c r="T339">
        <v>300</v>
      </c>
      <c r="U339" t="s">
        <v>1218</v>
      </c>
      <c r="V339" t="s">
        <v>1219</v>
      </c>
    </row>
    <row r="340" spans="12:22">
      <c r="L340" t="s">
        <v>1215</v>
      </c>
      <c r="M340" t="s">
        <v>1214</v>
      </c>
      <c r="N340" t="s">
        <v>1224</v>
      </c>
      <c r="O340" t="s">
        <v>56</v>
      </c>
      <c r="P340" t="s">
        <v>922</v>
      </c>
      <c r="Q340" t="s">
        <v>1216</v>
      </c>
      <c r="R340" t="s">
        <v>1217</v>
      </c>
      <c r="S340" t="s">
        <v>1896</v>
      </c>
      <c r="T340">
        <v>300</v>
      </c>
      <c r="U340" t="s">
        <v>1218</v>
      </c>
      <c r="V340" t="s">
        <v>1219</v>
      </c>
    </row>
    <row r="341" spans="12:22">
      <c r="L341" t="s">
        <v>1215</v>
      </c>
      <c r="M341" t="s">
        <v>1214</v>
      </c>
      <c r="N341" t="s">
        <v>1225</v>
      </c>
      <c r="O341" t="s">
        <v>56</v>
      </c>
      <c r="P341" t="s">
        <v>922</v>
      </c>
      <c r="Q341" t="s">
        <v>1216</v>
      </c>
      <c r="R341" t="s">
        <v>1217</v>
      </c>
      <c r="S341" t="s">
        <v>1896</v>
      </c>
      <c r="T341">
        <v>300</v>
      </c>
      <c r="U341" t="s">
        <v>1218</v>
      </c>
      <c r="V341" t="s">
        <v>1219</v>
      </c>
    </row>
    <row r="342" spans="12:22">
      <c r="L342" t="s">
        <v>1319</v>
      </c>
      <c r="M342" t="s">
        <v>1312</v>
      </c>
      <c r="N342" t="s">
        <v>1319</v>
      </c>
      <c r="O342" t="s">
        <v>56</v>
      </c>
      <c r="P342" t="s">
        <v>922</v>
      </c>
      <c r="Q342" t="s">
        <v>1328</v>
      </c>
      <c r="R342" t="s">
        <v>1329</v>
      </c>
      <c r="S342" t="s">
        <v>1915</v>
      </c>
      <c r="T342">
        <v>420</v>
      </c>
      <c r="U342" t="s">
        <v>1316</v>
      </c>
      <c r="V342" t="s">
        <v>1330</v>
      </c>
    </row>
    <row r="343" spans="12:22">
      <c r="L343" t="s">
        <v>921</v>
      </c>
      <c r="M343" t="s">
        <v>915</v>
      </c>
      <c r="N343" t="s">
        <v>921</v>
      </c>
      <c r="O343" t="s">
        <v>56</v>
      </c>
      <c r="P343" t="s">
        <v>922</v>
      </c>
      <c r="Q343" t="s">
        <v>923</v>
      </c>
      <c r="R343" t="s">
        <v>924</v>
      </c>
      <c r="S343" t="s">
        <v>1836</v>
      </c>
      <c r="T343">
        <v>120</v>
      </c>
      <c r="U343" t="s">
        <v>919</v>
      </c>
      <c r="V343" t="s">
        <v>925</v>
      </c>
    </row>
    <row r="344" spans="12:22">
      <c r="L344" t="s">
        <v>356</v>
      </c>
      <c r="M344" t="s">
        <v>332</v>
      </c>
      <c r="N344" t="s">
        <v>356</v>
      </c>
      <c r="O344" t="s">
        <v>68</v>
      </c>
      <c r="P344" t="s">
        <v>69</v>
      </c>
      <c r="Q344" t="s">
        <v>357</v>
      </c>
      <c r="R344" t="s">
        <v>358</v>
      </c>
      <c r="S344" t="s">
        <v>1715</v>
      </c>
      <c r="T344">
        <v>-240</v>
      </c>
      <c r="U344" t="s">
        <v>336</v>
      </c>
      <c r="V344" t="s">
        <v>359</v>
      </c>
    </row>
    <row r="345" spans="12:22">
      <c r="L345" t="s">
        <v>809</v>
      </c>
      <c r="M345" t="s">
        <v>695</v>
      </c>
      <c r="N345" t="s">
        <v>809</v>
      </c>
      <c r="O345" t="s">
        <v>564</v>
      </c>
      <c r="P345" t="s">
        <v>565</v>
      </c>
      <c r="Q345" t="s">
        <v>810</v>
      </c>
      <c r="R345" t="s">
        <v>811</v>
      </c>
      <c r="S345" t="s">
        <v>1808</v>
      </c>
      <c r="T345">
        <v>60</v>
      </c>
      <c r="U345" t="s">
        <v>699</v>
      </c>
      <c r="V345" t="s">
        <v>812</v>
      </c>
    </row>
    <row r="346" spans="12:22">
      <c r="L346" t="s">
        <v>1231</v>
      </c>
      <c r="M346" t="s">
        <v>1230</v>
      </c>
      <c r="N346" t="s">
        <v>1231</v>
      </c>
      <c r="O346" t="s">
        <v>56</v>
      </c>
      <c r="P346" t="s">
        <v>922</v>
      </c>
      <c r="Q346" t="s">
        <v>1232</v>
      </c>
      <c r="R346" t="s">
        <v>1233</v>
      </c>
      <c r="S346" t="s">
        <v>1898</v>
      </c>
      <c r="T346">
        <v>330</v>
      </c>
      <c r="U346" t="s">
        <v>993</v>
      </c>
      <c r="V346" t="s">
        <v>1234</v>
      </c>
    </row>
    <row r="347" spans="12:22">
      <c r="L347" t="s">
        <v>641</v>
      </c>
      <c r="M347" t="s">
        <v>578</v>
      </c>
      <c r="N347" t="s">
        <v>641</v>
      </c>
      <c r="O347" t="s">
        <v>572</v>
      </c>
      <c r="P347" t="s">
        <v>573</v>
      </c>
      <c r="Q347" t="s">
        <v>642</v>
      </c>
      <c r="R347" t="s">
        <v>643</v>
      </c>
      <c r="S347" t="s">
        <v>1768</v>
      </c>
      <c r="T347">
        <v>0</v>
      </c>
      <c r="U347" t="s">
        <v>582</v>
      </c>
      <c r="V347" t="s">
        <v>644</v>
      </c>
    </row>
    <row r="348" spans="12:22">
      <c r="L348" t="s">
        <v>1002</v>
      </c>
      <c r="M348" t="s">
        <v>996</v>
      </c>
      <c r="N348" t="s">
        <v>1002</v>
      </c>
      <c r="O348" t="s">
        <v>572</v>
      </c>
      <c r="P348" t="s">
        <v>573</v>
      </c>
      <c r="Q348" t="s">
        <v>1007</v>
      </c>
      <c r="R348" t="s">
        <v>1008</v>
      </c>
      <c r="S348" t="s">
        <v>1854</v>
      </c>
      <c r="T348">
        <v>120</v>
      </c>
      <c r="U348" t="s">
        <v>1000</v>
      </c>
      <c r="V348" t="s">
        <v>1009</v>
      </c>
    </row>
    <row r="349" spans="12:22">
      <c r="L349" t="s">
        <v>985</v>
      </c>
      <c r="M349" t="s">
        <v>915</v>
      </c>
      <c r="N349" t="s">
        <v>985</v>
      </c>
      <c r="O349" t="s">
        <v>564</v>
      </c>
      <c r="P349" t="s">
        <v>565</v>
      </c>
      <c r="Q349" t="s">
        <v>986</v>
      </c>
      <c r="R349" t="s">
        <v>987</v>
      </c>
      <c r="S349" t="s">
        <v>1850</v>
      </c>
      <c r="T349">
        <v>120</v>
      </c>
      <c r="U349" t="s">
        <v>919</v>
      </c>
      <c r="V349" t="s">
        <v>988</v>
      </c>
    </row>
    <row r="350" spans="12:22">
      <c r="L350" t="s">
        <v>737</v>
      </c>
      <c r="M350" t="s">
        <v>695</v>
      </c>
      <c r="N350" t="s">
        <v>737</v>
      </c>
      <c r="O350" t="s">
        <v>564</v>
      </c>
      <c r="P350" t="s">
        <v>565</v>
      </c>
      <c r="Q350" t="s">
        <v>755</v>
      </c>
      <c r="R350" t="s">
        <v>756</v>
      </c>
      <c r="S350" t="s">
        <v>1794</v>
      </c>
      <c r="T350">
        <v>60</v>
      </c>
      <c r="U350" t="s">
        <v>699</v>
      </c>
      <c r="V350" t="s">
        <v>757</v>
      </c>
    </row>
    <row r="351" spans="12:22">
      <c r="L351" t="s">
        <v>969</v>
      </c>
      <c r="M351" t="s">
        <v>915</v>
      </c>
      <c r="N351" t="s">
        <v>969</v>
      </c>
      <c r="O351" t="s">
        <v>564</v>
      </c>
      <c r="P351" t="s">
        <v>565</v>
      </c>
      <c r="Q351" t="s">
        <v>970</v>
      </c>
      <c r="R351" t="s">
        <v>971</v>
      </c>
      <c r="S351" t="s">
        <v>1846</v>
      </c>
      <c r="T351">
        <v>120</v>
      </c>
      <c r="U351" t="s">
        <v>919</v>
      </c>
      <c r="V351" t="s">
        <v>972</v>
      </c>
    </row>
    <row r="352" spans="12:22">
      <c r="L352" t="s">
        <v>981</v>
      </c>
      <c r="M352" t="s">
        <v>915</v>
      </c>
      <c r="N352" t="s">
        <v>981</v>
      </c>
      <c r="O352" t="s">
        <v>572</v>
      </c>
      <c r="P352" t="s">
        <v>573</v>
      </c>
      <c r="Q352" t="s">
        <v>982</v>
      </c>
      <c r="R352" t="s">
        <v>983</v>
      </c>
      <c r="S352" t="s">
        <v>1849</v>
      </c>
      <c r="T352">
        <v>120</v>
      </c>
      <c r="U352" t="s">
        <v>919</v>
      </c>
      <c r="V352" t="s">
        <v>984</v>
      </c>
    </row>
    <row r="353" spans="12:22">
      <c r="L353" t="s">
        <v>981</v>
      </c>
      <c r="M353" t="s">
        <v>915</v>
      </c>
      <c r="N353" t="s">
        <v>982</v>
      </c>
      <c r="O353" t="s">
        <v>572</v>
      </c>
      <c r="P353" t="s">
        <v>573</v>
      </c>
      <c r="Q353" t="s">
        <v>982</v>
      </c>
      <c r="R353" t="s">
        <v>983</v>
      </c>
      <c r="S353" t="s">
        <v>1849</v>
      </c>
      <c r="T353">
        <v>120</v>
      </c>
      <c r="U353" t="s">
        <v>919</v>
      </c>
      <c r="V353" t="s">
        <v>984</v>
      </c>
    </row>
    <row r="354" spans="12:22">
      <c r="L354" t="s">
        <v>669</v>
      </c>
      <c r="M354" t="s">
        <v>668</v>
      </c>
      <c r="N354" t="s">
        <v>669</v>
      </c>
      <c r="O354" t="s">
        <v>572</v>
      </c>
      <c r="P354" t="s">
        <v>573</v>
      </c>
      <c r="Q354" t="s">
        <v>670</v>
      </c>
      <c r="R354" t="s">
        <v>671</v>
      </c>
      <c r="S354" t="s">
        <v>1777</v>
      </c>
      <c r="T354">
        <v>0</v>
      </c>
      <c r="U354" t="s">
        <v>672</v>
      </c>
      <c r="V354" t="s">
        <v>673</v>
      </c>
    </row>
    <row r="355" spans="12:22">
      <c r="L355" t="s">
        <v>761</v>
      </c>
      <c r="M355" t="s">
        <v>695</v>
      </c>
      <c r="N355" t="s">
        <v>761</v>
      </c>
      <c r="O355" t="s">
        <v>564</v>
      </c>
      <c r="P355" t="s">
        <v>565</v>
      </c>
      <c r="Q355" t="s">
        <v>762</v>
      </c>
      <c r="R355" t="s">
        <v>763</v>
      </c>
      <c r="S355" t="s">
        <v>1796</v>
      </c>
      <c r="T355">
        <v>60</v>
      </c>
      <c r="U355" t="s">
        <v>699</v>
      </c>
      <c r="V355" t="s">
        <v>764</v>
      </c>
    </row>
    <row r="356" spans="12:22">
      <c r="L356" t="s">
        <v>934</v>
      </c>
      <c r="M356" t="s">
        <v>915</v>
      </c>
      <c r="N356" t="s">
        <v>934</v>
      </c>
      <c r="O356" t="s">
        <v>564</v>
      </c>
      <c r="P356" t="s">
        <v>565</v>
      </c>
      <c r="Q356" t="s">
        <v>935</v>
      </c>
      <c r="R356" t="s">
        <v>936</v>
      </c>
      <c r="S356" t="s">
        <v>1839</v>
      </c>
      <c r="T356">
        <v>120</v>
      </c>
      <c r="U356" t="s">
        <v>919</v>
      </c>
      <c r="V356" t="s">
        <v>937</v>
      </c>
    </row>
    <row r="357" spans="12:22">
      <c r="L357" t="s">
        <v>934</v>
      </c>
      <c r="M357" t="s">
        <v>915</v>
      </c>
      <c r="N357" t="s">
        <v>938</v>
      </c>
      <c r="O357" t="s">
        <v>564</v>
      </c>
      <c r="P357" t="s">
        <v>565</v>
      </c>
      <c r="Q357" t="s">
        <v>935</v>
      </c>
      <c r="R357" t="s">
        <v>936</v>
      </c>
      <c r="S357" t="s">
        <v>1839</v>
      </c>
      <c r="T357">
        <v>120</v>
      </c>
      <c r="U357" t="s">
        <v>919</v>
      </c>
      <c r="V357" t="s">
        <v>937</v>
      </c>
    </row>
    <row r="358" spans="12:22">
      <c r="L358" t="s">
        <v>714</v>
      </c>
      <c r="M358" t="s">
        <v>695</v>
      </c>
      <c r="N358" t="s">
        <v>714</v>
      </c>
      <c r="O358" t="s">
        <v>564</v>
      </c>
      <c r="P358" t="s">
        <v>565</v>
      </c>
      <c r="Q358" t="s">
        <v>772</v>
      </c>
      <c r="R358" t="s">
        <v>773</v>
      </c>
      <c r="S358" t="s">
        <v>1799</v>
      </c>
      <c r="T358">
        <v>60</v>
      </c>
      <c r="U358" t="s">
        <v>699</v>
      </c>
      <c r="V358" t="s">
        <v>774</v>
      </c>
    </row>
    <row r="359" spans="12:22">
      <c r="L359" t="s">
        <v>386</v>
      </c>
      <c r="M359" t="s">
        <v>332</v>
      </c>
      <c r="N359" t="s">
        <v>386</v>
      </c>
      <c r="O359" t="s">
        <v>68</v>
      </c>
      <c r="P359" t="s">
        <v>69</v>
      </c>
      <c r="Q359" t="s">
        <v>387</v>
      </c>
      <c r="R359" t="s">
        <v>388</v>
      </c>
      <c r="S359" t="s">
        <v>1722</v>
      </c>
      <c r="T359">
        <v>-240</v>
      </c>
      <c r="U359" t="s">
        <v>336</v>
      </c>
      <c r="V359" t="s">
        <v>389</v>
      </c>
    </row>
    <row r="360" spans="12:22">
      <c r="L360" t="s">
        <v>1050</v>
      </c>
      <c r="M360" t="s">
        <v>1044</v>
      </c>
      <c r="N360" t="s">
        <v>1050</v>
      </c>
      <c r="O360" t="s">
        <v>572</v>
      </c>
      <c r="P360" t="s">
        <v>573</v>
      </c>
      <c r="Q360" t="s">
        <v>1051</v>
      </c>
      <c r="R360" t="s">
        <v>1052</v>
      </c>
      <c r="S360" t="s">
        <v>1864</v>
      </c>
      <c r="T360">
        <v>180</v>
      </c>
      <c r="U360" t="s">
        <v>1048</v>
      </c>
      <c r="V360" t="s">
        <v>1053</v>
      </c>
    </row>
    <row r="361" spans="12:22">
      <c r="L361" t="s">
        <v>1580</v>
      </c>
      <c r="M361" t="s">
        <v>1583</v>
      </c>
      <c r="N361" t="s">
        <v>1584</v>
      </c>
      <c r="O361" t="s">
        <v>42</v>
      </c>
      <c r="P361" t="s">
        <v>43</v>
      </c>
      <c r="Q361" t="s">
        <v>1585</v>
      </c>
      <c r="R361" t="s">
        <v>1586</v>
      </c>
      <c r="S361" t="s">
        <v>1959</v>
      </c>
      <c r="T361">
        <v>720</v>
      </c>
      <c r="U361" t="s">
        <v>1587</v>
      </c>
      <c r="V361" t="s">
        <v>1588</v>
      </c>
    </row>
    <row r="362" spans="12:22">
      <c r="L362" t="s">
        <v>1580</v>
      </c>
      <c r="M362" t="s">
        <v>1583</v>
      </c>
      <c r="N362" t="s">
        <v>1580</v>
      </c>
      <c r="O362" t="s">
        <v>42</v>
      </c>
      <c r="P362" t="s">
        <v>43</v>
      </c>
      <c r="Q362" t="s">
        <v>1585</v>
      </c>
      <c r="R362" t="s">
        <v>1586</v>
      </c>
      <c r="S362" t="s">
        <v>1959</v>
      </c>
      <c r="T362">
        <v>720</v>
      </c>
      <c r="U362" t="s">
        <v>1587</v>
      </c>
      <c r="V362" t="s">
        <v>1588</v>
      </c>
    </row>
    <row r="363" spans="12:22">
      <c r="L363" t="s">
        <v>1580</v>
      </c>
      <c r="M363" t="s">
        <v>1583</v>
      </c>
      <c r="N363" t="s">
        <v>1589</v>
      </c>
      <c r="O363" t="s">
        <v>42</v>
      </c>
      <c r="P363" t="s">
        <v>43</v>
      </c>
      <c r="Q363" t="s">
        <v>1585</v>
      </c>
      <c r="R363" t="s">
        <v>1586</v>
      </c>
      <c r="S363" t="s">
        <v>1959</v>
      </c>
      <c r="T363">
        <v>720</v>
      </c>
      <c r="U363" t="s">
        <v>1587</v>
      </c>
      <c r="V363" t="s">
        <v>1588</v>
      </c>
    </row>
    <row r="364" spans="12:22">
      <c r="L364" t="s">
        <v>716</v>
      </c>
      <c r="M364" t="s">
        <v>695</v>
      </c>
      <c r="N364" t="s">
        <v>716</v>
      </c>
      <c r="O364" t="s">
        <v>564</v>
      </c>
      <c r="P364" t="s">
        <v>565</v>
      </c>
      <c r="Q364" t="s">
        <v>795</v>
      </c>
      <c r="R364" t="s">
        <v>796</v>
      </c>
      <c r="S364" t="s">
        <v>1804</v>
      </c>
      <c r="T364">
        <v>60</v>
      </c>
      <c r="U364" t="s">
        <v>699</v>
      </c>
      <c r="V364" t="s">
        <v>797</v>
      </c>
    </row>
    <row r="365" spans="12:22">
      <c r="L365" t="s">
        <v>586</v>
      </c>
      <c r="M365" t="s">
        <v>578</v>
      </c>
      <c r="N365" t="s">
        <v>586</v>
      </c>
      <c r="O365" t="s">
        <v>572</v>
      </c>
      <c r="P365" t="s">
        <v>573</v>
      </c>
      <c r="Q365" t="s">
        <v>597</v>
      </c>
      <c r="R365" t="s">
        <v>598</v>
      </c>
      <c r="S365" t="s">
        <v>1756</v>
      </c>
      <c r="T365">
        <v>0</v>
      </c>
      <c r="U365" t="s">
        <v>582</v>
      </c>
      <c r="V365" t="s">
        <v>599</v>
      </c>
    </row>
    <row r="366" spans="12:22">
      <c r="L366" t="s">
        <v>1290</v>
      </c>
      <c r="M366" t="s">
        <v>1289</v>
      </c>
      <c r="N366" t="s">
        <v>1290</v>
      </c>
      <c r="O366" t="s">
        <v>56</v>
      </c>
      <c r="P366" t="s">
        <v>922</v>
      </c>
      <c r="Q366" t="s">
        <v>1291</v>
      </c>
      <c r="R366" t="s">
        <v>1292</v>
      </c>
      <c r="S366" t="s">
        <v>1908</v>
      </c>
      <c r="T366">
        <v>390</v>
      </c>
      <c r="U366" t="s">
        <v>1293</v>
      </c>
      <c r="V366" t="s">
        <v>1294</v>
      </c>
    </row>
    <row r="367" spans="12:22">
      <c r="L367" t="s">
        <v>1290</v>
      </c>
      <c r="M367" t="s">
        <v>1289</v>
      </c>
      <c r="N367" t="s">
        <v>1284</v>
      </c>
      <c r="O367" t="s">
        <v>56</v>
      </c>
      <c r="P367" t="s">
        <v>922</v>
      </c>
      <c r="Q367" t="s">
        <v>1291</v>
      </c>
      <c r="R367" t="s">
        <v>1292</v>
      </c>
      <c r="S367" t="s">
        <v>1908</v>
      </c>
      <c r="T367">
        <v>390</v>
      </c>
      <c r="U367" t="s">
        <v>1293</v>
      </c>
      <c r="V367" t="s">
        <v>1294</v>
      </c>
    </row>
    <row r="368" spans="12:22">
      <c r="L368" t="s">
        <v>1290</v>
      </c>
      <c r="M368" t="s">
        <v>1289</v>
      </c>
      <c r="N368" t="s">
        <v>1295</v>
      </c>
      <c r="O368" t="s">
        <v>56</v>
      </c>
      <c r="P368" t="s">
        <v>922</v>
      </c>
      <c r="Q368" t="s">
        <v>1291</v>
      </c>
      <c r="R368" t="s">
        <v>1292</v>
      </c>
      <c r="S368" t="s">
        <v>1908</v>
      </c>
      <c r="T368">
        <v>390</v>
      </c>
      <c r="U368" t="s">
        <v>1293</v>
      </c>
      <c r="V368" t="s">
        <v>1294</v>
      </c>
    </row>
    <row r="369" spans="12:22">
      <c r="L369" t="s">
        <v>1307</v>
      </c>
      <c r="M369" t="s">
        <v>1306</v>
      </c>
      <c r="N369" t="s">
        <v>1307</v>
      </c>
      <c r="O369" t="s">
        <v>56</v>
      </c>
      <c r="P369" t="s">
        <v>922</v>
      </c>
      <c r="Q369" t="s">
        <v>1308</v>
      </c>
      <c r="R369" t="s">
        <v>1309</v>
      </c>
      <c r="S369" t="s">
        <v>1911</v>
      </c>
      <c r="T369">
        <v>420</v>
      </c>
      <c r="U369" t="s">
        <v>1310</v>
      </c>
      <c r="V369" t="s">
        <v>1311</v>
      </c>
    </row>
    <row r="370" spans="12:22">
      <c r="L370" t="s">
        <v>1418</v>
      </c>
      <c r="M370" t="s">
        <v>1414</v>
      </c>
      <c r="N370" t="s">
        <v>1415</v>
      </c>
      <c r="O370" t="s">
        <v>56</v>
      </c>
      <c r="P370" t="s">
        <v>922</v>
      </c>
      <c r="Q370" t="s">
        <v>1308</v>
      </c>
      <c r="R370" t="s">
        <v>1309</v>
      </c>
      <c r="S370" t="s">
        <v>1930</v>
      </c>
      <c r="T370">
        <v>480</v>
      </c>
      <c r="U370" t="s">
        <v>1416</v>
      </c>
      <c r="V370" t="s">
        <v>1417</v>
      </c>
    </row>
    <row r="371" spans="12:22">
      <c r="L371" t="s">
        <v>1418</v>
      </c>
      <c r="M371" t="s">
        <v>1414</v>
      </c>
      <c r="N371" t="s">
        <v>1418</v>
      </c>
      <c r="O371" t="s">
        <v>56</v>
      </c>
      <c r="P371" t="s">
        <v>922</v>
      </c>
      <c r="Q371" t="s">
        <v>1308</v>
      </c>
      <c r="R371" t="s">
        <v>1309</v>
      </c>
      <c r="S371" t="s">
        <v>1930</v>
      </c>
      <c r="T371">
        <v>480</v>
      </c>
      <c r="U371" t="s">
        <v>1416</v>
      </c>
      <c r="V371" t="s">
        <v>1417</v>
      </c>
    </row>
    <row r="372" spans="12:22">
      <c r="L372" t="s">
        <v>1418</v>
      </c>
      <c r="M372" t="s">
        <v>1414</v>
      </c>
      <c r="N372" t="s">
        <v>1419</v>
      </c>
      <c r="O372" t="s">
        <v>56</v>
      </c>
      <c r="P372" t="s">
        <v>922</v>
      </c>
      <c r="Q372" t="s">
        <v>1308</v>
      </c>
      <c r="R372" t="s">
        <v>1309</v>
      </c>
      <c r="S372" t="s">
        <v>1930</v>
      </c>
      <c r="T372">
        <v>480</v>
      </c>
      <c r="U372" t="s">
        <v>1416</v>
      </c>
      <c r="V372" t="s">
        <v>1417</v>
      </c>
    </row>
    <row r="373" spans="12:22">
      <c r="L373" t="s">
        <v>1366</v>
      </c>
      <c r="M373" t="s">
        <v>1261</v>
      </c>
      <c r="N373" t="s">
        <v>1366</v>
      </c>
      <c r="O373" t="s">
        <v>56</v>
      </c>
      <c r="P373" t="s">
        <v>922</v>
      </c>
      <c r="Q373" t="s">
        <v>1367</v>
      </c>
      <c r="R373" t="s">
        <v>1368</v>
      </c>
      <c r="S373" t="s">
        <v>1922</v>
      </c>
      <c r="T373">
        <v>480</v>
      </c>
      <c r="U373" t="s">
        <v>167</v>
      </c>
      <c r="V373" t="s">
        <v>1369</v>
      </c>
    </row>
    <row r="374" spans="12:22">
      <c r="L374" t="s">
        <v>1366</v>
      </c>
      <c r="M374" t="s">
        <v>1261</v>
      </c>
      <c r="N374" t="s">
        <v>1370</v>
      </c>
      <c r="O374" t="s">
        <v>56</v>
      </c>
      <c r="P374" t="s">
        <v>922</v>
      </c>
      <c r="Q374" t="s">
        <v>1367</v>
      </c>
      <c r="R374" t="s">
        <v>1368</v>
      </c>
      <c r="S374" t="s">
        <v>1922</v>
      </c>
      <c r="T374">
        <v>480</v>
      </c>
      <c r="U374" t="s">
        <v>167</v>
      </c>
      <c r="V374" t="s">
        <v>1369</v>
      </c>
    </row>
    <row r="375" spans="12:22">
      <c r="L375" t="s">
        <v>1496</v>
      </c>
      <c r="M375" t="s">
        <v>1490</v>
      </c>
      <c r="N375" t="s">
        <v>1496</v>
      </c>
      <c r="O375" t="s">
        <v>42</v>
      </c>
      <c r="P375" t="s">
        <v>43</v>
      </c>
      <c r="Q375" t="s">
        <v>1497</v>
      </c>
      <c r="R375" t="s">
        <v>1498</v>
      </c>
      <c r="S375" t="s">
        <v>1944</v>
      </c>
      <c r="T375">
        <v>600</v>
      </c>
      <c r="U375" t="s">
        <v>1494</v>
      </c>
      <c r="V375" t="s">
        <v>1499</v>
      </c>
    </row>
    <row r="376" spans="12:22">
      <c r="L376" t="s">
        <v>352</v>
      </c>
      <c r="M376" t="s">
        <v>332</v>
      </c>
      <c r="N376" t="s">
        <v>352</v>
      </c>
      <c r="O376" t="s">
        <v>68</v>
      </c>
      <c r="P376" t="s">
        <v>69</v>
      </c>
      <c r="Q376" t="s">
        <v>353</v>
      </c>
      <c r="R376" t="s">
        <v>354</v>
      </c>
      <c r="S376" t="s">
        <v>1714</v>
      </c>
      <c r="T376">
        <v>-240</v>
      </c>
      <c r="U376" t="s">
        <v>336</v>
      </c>
      <c r="V376" t="s">
        <v>355</v>
      </c>
    </row>
    <row r="377" spans="12:22">
      <c r="L377" t="s">
        <v>592</v>
      </c>
      <c r="M377" t="s">
        <v>578</v>
      </c>
      <c r="N377" t="s">
        <v>592</v>
      </c>
      <c r="O377" t="s">
        <v>572</v>
      </c>
      <c r="P377" t="s">
        <v>573</v>
      </c>
      <c r="Q377" t="s">
        <v>645</v>
      </c>
      <c r="R377" t="s">
        <v>646</v>
      </c>
      <c r="S377" t="s">
        <v>1769</v>
      </c>
      <c r="T377">
        <v>0</v>
      </c>
      <c r="U377" t="s">
        <v>582</v>
      </c>
      <c r="V377" t="s">
        <v>647</v>
      </c>
    </row>
    <row r="378" spans="12:22">
      <c r="L378" t="s">
        <v>340</v>
      </c>
      <c r="M378" t="s">
        <v>332</v>
      </c>
      <c r="N378" t="s">
        <v>340</v>
      </c>
      <c r="O378" t="s">
        <v>68</v>
      </c>
      <c r="P378" t="s">
        <v>69</v>
      </c>
      <c r="Q378" t="s">
        <v>341</v>
      </c>
      <c r="R378" t="s">
        <v>342</v>
      </c>
      <c r="S378" t="s">
        <v>1711</v>
      </c>
      <c r="T378">
        <v>-240</v>
      </c>
      <c r="U378" t="s">
        <v>336</v>
      </c>
      <c r="V378" t="s">
        <v>343</v>
      </c>
    </row>
    <row r="379" spans="12:22">
      <c r="L379" t="s">
        <v>788</v>
      </c>
      <c r="M379" t="s">
        <v>695</v>
      </c>
      <c r="N379" t="s">
        <v>788</v>
      </c>
      <c r="O379" t="s">
        <v>564</v>
      </c>
      <c r="P379" t="s">
        <v>565</v>
      </c>
      <c r="Q379" t="s">
        <v>789</v>
      </c>
      <c r="R379" t="s">
        <v>790</v>
      </c>
      <c r="S379" t="s">
        <v>1802</v>
      </c>
      <c r="T379">
        <v>60</v>
      </c>
      <c r="U379" t="s">
        <v>699</v>
      </c>
      <c r="V379" t="s">
        <v>791</v>
      </c>
    </row>
    <row r="380" spans="12:22">
      <c r="L380" t="s">
        <v>1144</v>
      </c>
      <c r="M380" t="s">
        <v>1143</v>
      </c>
      <c r="N380" t="s">
        <v>1144</v>
      </c>
      <c r="O380" t="s">
        <v>572</v>
      </c>
      <c r="P380" t="s">
        <v>573</v>
      </c>
      <c r="Q380" t="s">
        <v>1145</v>
      </c>
      <c r="R380" t="s">
        <v>1146</v>
      </c>
      <c r="S380" t="s">
        <v>1884</v>
      </c>
      <c r="T380">
        <v>240</v>
      </c>
      <c r="U380" t="s">
        <v>1147</v>
      </c>
      <c r="V380" t="s">
        <v>1148</v>
      </c>
    </row>
    <row r="381" spans="12:22">
      <c r="L381" t="s">
        <v>1178</v>
      </c>
      <c r="M381" t="s">
        <v>1177</v>
      </c>
      <c r="N381" t="s">
        <v>1178</v>
      </c>
      <c r="O381" t="s">
        <v>56</v>
      </c>
      <c r="P381" t="s">
        <v>922</v>
      </c>
      <c r="Q381" t="s">
        <v>1179</v>
      </c>
      <c r="R381" t="s">
        <v>1180</v>
      </c>
      <c r="S381" t="s">
        <v>1890</v>
      </c>
      <c r="T381">
        <v>300</v>
      </c>
      <c r="U381" t="s">
        <v>1181</v>
      </c>
      <c r="V381" t="s">
        <v>1182</v>
      </c>
    </row>
    <row r="382" spans="12:22">
      <c r="L382" t="s">
        <v>1178</v>
      </c>
      <c r="M382" t="s">
        <v>1177</v>
      </c>
      <c r="N382" t="s">
        <v>1172</v>
      </c>
      <c r="O382" t="s">
        <v>56</v>
      </c>
      <c r="P382" t="s">
        <v>922</v>
      </c>
      <c r="Q382" t="s">
        <v>1179</v>
      </c>
      <c r="R382" t="s">
        <v>1180</v>
      </c>
      <c r="S382" t="s">
        <v>1890</v>
      </c>
      <c r="T382">
        <v>300</v>
      </c>
      <c r="U382" t="s">
        <v>1181</v>
      </c>
      <c r="V382" t="s">
        <v>1182</v>
      </c>
    </row>
    <row r="383" spans="12:22">
      <c r="L383" t="s">
        <v>901</v>
      </c>
      <c r="M383" t="s">
        <v>690</v>
      </c>
      <c r="N383" t="s">
        <v>901</v>
      </c>
      <c r="O383" t="s">
        <v>572</v>
      </c>
      <c r="P383" t="s">
        <v>573</v>
      </c>
      <c r="Q383" t="s">
        <v>902</v>
      </c>
      <c r="R383" t="s">
        <v>903</v>
      </c>
      <c r="S383" t="s">
        <v>1831</v>
      </c>
      <c r="T383">
        <v>120</v>
      </c>
      <c r="U383" t="s">
        <v>693</v>
      </c>
      <c r="V383" t="s">
        <v>904</v>
      </c>
    </row>
    <row r="384" spans="12:22">
      <c r="L384" t="s">
        <v>111</v>
      </c>
      <c r="M384" t="s">
        <v>105</v>
      </c>
      <c r="N384" t="s">
        <v>111</v>
      </c>
      <c r="O384" t="s">
        <v>68</v>
      </c>
      <c r="P384" t="s">
        <v>69</v>
      </c>
      <c r="Q384" t="s">
        <v>112</v>
      </c>
      <c r="R384" t="s">
        <v>113</v>
      </c>
      <c r="S384" t="s">
        <v>1671</v>
      </c>
      <c r="T384">
        <v>-480</v>
      </c>
      <c r="U384" t="s">
        <v>107</v>
      </c>
      <c r="V384" t="s">
        <v>114</v>
      </c>
    </row>
    <row r="385" spans="12:22">
      <c r="L385" t="s">
        <v>111</v>
      </c>
      <c r="M385" t="s">
        <v>105</v>
      </c>
      <c r="N385" t="s">
        <v>115</v>
      </c>
      <c r="O385" t="s">
        <v>68</v>
      </c>
      <c r="P385" t="s">
        <v>69</v>
      </c>
      <c r="Q385" t="s">
        <v>112</v>
      </c>
      <c r="R385" t="s">
        <v>113</v>
      </c>
      <c r="S385" t="s">
        <v>1671</v>
      </c>
      <c r="T385">
        <v>-480</v>
      </c>
      <c r="U385" t="s">
        <v>107</v>
      </c>
      <c r="V385" t="s">
        <v>114</v>
      </c>
    </row>
    <row r="386" spans="12:22">
      <c r="L386" t="s">
        <v>111</v>
      </c>
      <c r="M386" t="s">
        <v>105</v>
      </c>
      <c r="N386" t="s">
        <v>116</v>
      </c>
      <c r="O386" t="s">
        <v>68</v>
      </c>
      <c r="P386" t="s">
        <v>69</v>
      </c>
      <c r="Q386" t="s">
        <v>112</v>
      </c>
      <c r="R386" t="s">
        <v>113</v>
      </c>
      <c r="S386" t="s">
        <v>1671</v>
      </c>
      <c r="T386">
        <v>-480</v>
      </c>
      <c r="U386" t="s">
        <v>107</v>
      </c>
      <c r="V386" t="s">
        <v>114</v>
      </c>
    </row>
    <row r="387" spans="12:22">
      <c r="L387" t="s">
        <v>111</v>
      </c>
      <c r="M387" t="s">
        <v>105</v>
      </c>
      <c r="N387" t="s">
        <v>117</v>
      </c>
      <c r="O387" t="s">
        <v>68</v>
      </c>
      <c r="P387" t="s">
        <v>69</v>
      </c>
      <c r="Q387" t="s">
        <v>112</v>
      </c>
      <c r="R387" t="s">
        <v>113</v>
      </c>
      <c r="S387" t="s">
        <v>1671</v>
      </c>
      <c r="T387">
        <v>-480</v>
      </c>
      <c r="U387" t="s">
        <v>107</v>
      </c>
      <c r="V387" t="s">
        <v>114</v>
      </c>
    </row>
    <row r="388" spans="12:22">
      <c r="L388" t="s">
        <v>129</v>
      </c>
      <c r="M388" t="s">
        <v>128</v>
      </c>
      <c r="N388" t="s">
        <v>129</v>
      </c>
      <c r="O388" t="s">
        <v>68</v>
      </c>
      <c r="P388" t="s">
        <v>69</v>
      </c>
      <c r="Q388" t="s">
        <v>112</v>
      </c>
      <c r="R388" t="s">
        <v>113</v>
      </c>
      <c r="S388" t="s">
        <v>1674</v>
      </c>
      <c r="T388">
        <v>-420</v>
      </c>
      <c r="U388" t="s">
        <v>130</v>
      </c>
      <c r="V388" t="s">
        <v>131</v>
      </c>
    </row>
    <row r="389" spans="12:22">
      <c r="L389" t="s">
        <v>129</v>
      </c>
      <c r="M389" t="s">
        <v>128</v>
      </c>
      <c r="N389" t="s">
        <v>132</v>
      </c>
      <c r="O389" t="s">
        <v>68</v>
      </c>
      <c r="P389" t="s">
        <v>69</v>
      </c>
      <c r="Q389" t="s">
        <v>112</v>
      </c>
      <c r="R389" t="s">
        <v>113</v>
      </c>
      <c r="S389" t="s">
        <v>1674</v>
      </c>
      <c r="T389">
        <v>-420</v>
      </c>
      <c r="U389" t="s">
        <v>130</v>
      </c>
      <c r="V389" t="s">
        <v>131</v>
      </c>
    </row>
    <row r="390" spans="12:22">
      <c r="L390" t="s">
        <v>129</v>
      </c>
      <c r="M390" t="s">
        <v>128</v>
      </c>
      <c r="N390" t="s">
        <v>133</v>
      </c>
      <c r="O390" t="s">
        <v>68</v>
      </c>
      <c r="P390" t="s">
        <v>69</v>
      </c>
      <c r="Q390" t="s">
        <v>112</v>
      </c>
      <c r="R390" t="s">
        <v>113</v>
      </c>
      <c r="S390" t="s">
        <v>1674</v>
      </c>
      <c r="T390">
        <v>-420</v>
      </c>
      <c r="U390" t="s">
        <v>130</v>
      </c>
      <c r="V390" t="s">
        <v>131</v>
      </c>
    </row>
    <row r="391" spans="12:22">
      <c r="L391" t="s">
        <v>142</v>
      </c>
      <c r="M391" t="s">
        <v>134</v>
      </c>
      <c r="N391" t="s">
        <v>142</v>
      </c>
      <c r="O391" t="s">
        <v>68</v>
      </c>
      <c r="P391" t="s">
        <v>69</v>
      </c>
      <c r="Q391" t="s">
        <v>112</v>
      </c>
      <c r="R391" t="s">
        <v>113</v>
      </c>
      <c r="S391" t="s">
        <v>1676</v>
      </c>
      <c r="T391">
        <v>-420</v>
      </c>
      <c r="U391" t="s">
        <v>136</v>
      </c>
      <c r="V391" t="s">
        <v>143</v>
      </c>
    </row>
    <row r="392" spans="12:22">
      <c r="L392" t="s">
        <v>193</v>
      </c>
      <c r="M392" t="s">
        <v>163</v>
      </c>
      <c r="N392" t="s">
        <v>189</v>
      </c>
      <c r="O392" t="s">
        <v>68</v>
      </c>
      <c r="P392" t="s">
        <v>69</v>
      </c>
      <c r="Q392" t="s">
        <v>112</v>
      </c>
      <c r="R392" t="s">
        <v>113</v>
      </c>
      <c r="S392" t="s">
        <v>1684</v>
      </c>
      <c r="T392">
        <v>-360</v>
      </c>
      <c r="U392" t="s">
        <v>167</v>
      </c>
      <c r="V392" t="s">
        <v>190</v>
      </c>
    </row>
    <row r="393" spans="12:22">
      <c r="L393" t="s">
        <v>193</v>
      </c>
      <c r="M393" t="s">
        <v>163</v>
      </c>
      <c r="N393" t="s">
        <v>191</v>
      </c>
      <c r="O393" t="s">
        <v>68</v>
      </c>
      <c r="P393" t="s">
        <v>69</v>
      </c>
      <c r="Q393" t="s">
        <v>112</v>
      </c>
      <c r="R393" t="s">
        <v>113</v>
      </c>
      <c r="S393" t="s">
        <v>1684</v>
      </c>
      <c r="T393">
        <v>-360</v>
      </c>
      <c r="U393" t="s">
        <v>167</v>
      </c>
      <c r="V393" t="s">
        <v>190</v>
      </c>
    </row>
    <row r="394" spans="12:22">
      <c r="L394" t="s">
        <v>193</v>
      </c>
      <c r="M394" t="s">
        <v>163</v>
      </c>
      <c r="N394" t="s">
        <v>192</v>
      </c>
      <c r="O394" t="s">
        <v>68</v>
      </c>
      <c r="P394" t="s">
        <v>69</v>
      </c>
      <c r="Q394" t="s">
        <v>112</v>
      </c>
      <c r="R394" t="s">
        <v>113</v>
      </c>
      <c r="S394" t="s">
        <v>1684</v>
      </c>
      <c r="T394">
        <v>-360</v>
      </c>
      <c r="U394" t="s">
        <v>167</v>
      </c>
      <c r="V394" t="s">
        <v>190</v>
      </c>
    </row>
    <row r="395" spans="12:22">
      <c r="L395" t="s">
        <v>193</v>
      </c>
      <c r="M395" t="s">
        <v>163</v>
      </c>
      <c r="N395" t="s">
        <v>193</v>
      </c>
      <c r="O395" t="s">
        <v>68</v>
      </c>
      <c r="P395" t="s">
        <v>69</v>
      </c>
      <c r="Q395" t="s">
        <v>112</v>
      </c>
      <c r="R395" t="s">
        <v>113</v>
      </c>
      <c r="S395" t="s">
        <v>1684</v>
      </c>
      <c r="T395">
        <v>-360</v>
      </c>
      <c r="U395" t="s">
        <v>167</v>
      </c>
      <c r="V395" t="s">
        <v>190</v>
      </c>
    </row>
    <row r="396" spans="12:22">
      <c r="L396" t="s">
        <v>193</v>
      </c>
      <c r="M396" t="s">
        <v>163</v>
      </c>
      <c r="N396" t="s">
        <v>194</v>
      </c>
      <c r="O396" t="s">
        <v>68</v>
      </c>
      <c r="P396" t="s">
        <v>69</v>
      </c>
      <c r="Q396" t="s">
        <v>112</v>
      </c>
      <c r="R396" t="s">
        <v>113</v>
      </c>
      <c r="S396" t="s">
        <v>1684</v>
      </c>
      <c r="T396">
        <v>-360</v>
      </c>
      <c r="U396" t="s">
        <v>167</v>
      </c>
      <c r="V396" t="s">
        <v>190</v>
      </c>
    </row>
    <row r="397" spans="12:22">
      <c r="L397" t="s">
        <v>193</v>
      </c>
      <c r="M397" t="s">
        <v>163</v>
      </c>
      <c r="N397" t="s">
        <v>195</v>
      </c>
      <c r="O397" t="s">
        <v>68</v>
      </c>
      <c r="P397" t="s">
        <v>69</v>
      </c>
      <c r="Q397" t="s">
        <v>112</v>
      </c>
      <c r="R397" t="s">
        <v>113</v>
      </c>
      <c r="S397" t="s">
        <v>1684</v>
      </c>
      <c r="T397">
        <v>-360</v>
      </c>
      <c r="U397" t="s">
        <v>167</v>
      </c>
      <c r="V397" t="s">
        <v>190</v>
      </c>
    </row>
    <row r="398" spans="12:22">
      <c r="L398" t="s">
        <v>196</v>
      </c>
      <c r="M398" t="s">
        <v>163</v>
      </c>
      <c r="N398" t="s">
        <v>196</v>
      </c>
      <c r="O398" t="s">
        <v>68</v>
      </c>
      <c r="P398" t="s">
        <v>69</v>
      </c>
      <c r="Q398" t="s">
        <v>112</v>
      </c>
      <c r="R398" t="s">
        <v>113</v>
      </c>
      <c r="S398" t="s">
        <v>1685</v>
      </c>
      <c r="T398">
        <v>-360</v>
      </c>
      <c r="U398" t="s">
        <v>167</v>
      </c>
      <c r="V398" t="s">
        <v>197</v>
      </c>
    </row>
    <row r="399" spans="12:22">
      <c r="L399" t="s">
        <v>196</v>
      </c>
      <c r="M399" t="s">
        <v>163</v>
      </c>
      <c r="N399" t="s">
        <v>198</v>
      </c>
      <c r="O399" t="s">
        <v>68</v>
      </c>
      <c r="P399" t="s">
        <v>69</v>
      </c>
      <c r="Q399" t="s">
        <v>112</v>
      </c>
      <c r="R399" t="s">
        <v>113</v>
      </c>
      <c r="S399" t="s">
        <v>1685</v>
      </c>
      <c r="T399">
        <v>-360</v>
      </c>
      <c r="U399" t="s">
        <v>167</v>
      </c>
      <c r="V399" t="s">
        <v>197</v>
      </c>
    </row>
    <row r="400" spans="12:22">
      <c r="L400" t="s">
        <v>260</v>
      </c>
      <c r="M400" t="s">
        <v>256</v>
      </c>
      <c r="N400" t="s">
        <v>260</v>
      </c>
      <c r="O400" t="s">
        <v>68</v>
      </c>
      <c r="P400" t="s">
        <v>69</v>
      </c>
      <c r="Q400" t="s">
        <v>112</v>
      </c>
      <c r="R400" t="s">
        <v>113</v>
      </c>
      <c r="S400" t="s">
        <v>1697</v>
      </c>
      <c r="T400">
        <v>-300</v>
      </c>
      <c r="U400" t="s">
        <v>258</v>
      </c>
      <c r="V400" t="s">
        <v>261</v>
      </c>
    </row>
    <row r="401" spans="12:22">
      <c r="L401" t="s">
        <v>1389</v>
      </c>
      <c r="M401" t="s">
        <v>1388</v>
      </c>
      <c r="N401" t="s">
        <v>1389</v>
      </c>
      <c r="O401" t="s">
        <v>56</v>
      </c>
      <c r="P401" t="s">
        <v>922</v>
      </c>
      <c r="Q401" t="s">
        <v>1390</v>
      </c>
      <c r="R401" t="s">
        <v>1391</v>
      </c>
      <c r="S401" t="s">
        <v>1926</v>
      </c>
      <c r="T401">
        <v>480</v>
      </c>
      <c r="U401" t="s">
        <v>1392</v>
      </c>
      <c r="V401" t="s">
        <v>1393</v>
      </c>
    </row>
    <row r="402" spans="12:22">
      <c r="L402" t="s">
        <v>1389</v>
      </c>
      <c r="M402" t="s">
        <v>1388</v>
      </c>
      <c r="N402" t="s">
        <v>1394</v>
      </c>
      <c r="O402" t="s">
        <v>56</v>
      </c>
      <c r="P402" t="s">
        <v>922</v>
      </c>
      <c r="Q402" t="s">
        <v>1390</v>
      </c>
      <c r="R402" t="s">
        <v>1391</v>
      </c>
      <c r="S402" t="s">
        <v>1926</v>
      </c>
      <c r="T402">
        <v>480</v>
      </c>
      <c r="U402" t="s">
        <v>1392</v>
      </c>
      <c r="V402" t="s">
        <v>1393</v>
      </c>
    </row>
    <row r="403" spans="12:22">
      <c r="L403" t="s">
        <v>1389</v>
      </c>
      <c r="M403" t="s">
        <v>1388</v>
      </c>
      <c r="N403" t="s">
        <v>1356</v>
      </c>
      <c r="O403" t="s">
        <v>56</v>
      </c>
      <c r="P403" t="s">
        <v>922</v>
      </c>
      <c r="Q403" t="s">
        <v>1390</v>
      </c>
      <c r="R403" t="s">
        <v>1391</v>
      </c>
      <c r="S403" t="s">
        <v>1926</v>
      </c>
      <c r="T403">
        <v>480</v>
      </c>
      <c r="U403" t="s">
        <v>1392</v>
      </c>
      <c r="V403" t="s">
        <v>1393</v>
      </c>
    </row>
    <row r="404" spans="12:22">
      <c r="L404" t="s">
        <v>911</v>
      </c>
      <c r="M404" t="s">
        <v>690</v>
      </c>
      <c r="N404" t="s">
        <v>911</v>
      </c>
      <c r="O404" t="s">
        <v>572</v>
      </c>
      <c r="P404" t="s">
        <v>573</v>
      </c>
      <c r="Q404" t="s">
        <v>912</v>
      </c>
      <c r="R404" t="s">
        <v>913</v>
      </c>
      <c r="S404" t="s">
        <v>1834</v>
      </c>
      <c r="T404">
        <v>120</v>
      </c>
      <c r="U404" t="s">
        <v>693</v>
      </c>
      <c r="V404" t="s">
        <v>914</v>
      </c>
    </row>
    <row r="405" spans="12:22">
      <c r="L405" t="s">
        <v>911</v>
      </c>
      <c r="M405" t="s">
        <v>690</v>
      </c>
      <c r="N405" t="s">
        <v>901</v>
      </c>
      <c r="O405" t="s">
        <v>572</v>
      </c>
      <c r="P405" t="s">
        <v>573</v>
      </c>
      <c r="Q405" t="s">
        <v>912</v>
      </c>
      <c r="R405" t="s">
        <v>913</v>
      </c>
      <c r="S405" t="s">
        <v>1834</v>
      </c>
      <c r="T405">
        <v>120</v>
      </c>
      <c r="U405" t="s">
        <v>693</v>
      </c>
      <c r="V405" t="s">
        <v>914</v>
      </c>
    </row>
    <row r="406" spans="12:22">
      <c r="L406" t="s">
        <v>911</v>
      </c>
      <c r="M406" t="s">
        <v>690</v>
      </c>
      <c r="N406" t="s">
        <v>877</v>
      </c>
      <c r="O406" t="s">
        <v>572</v>
      </c>
      <c r="P406" t="s">
        <v>573</v>
      </c>
      <c r="Q406" t="s">
        <v>912</v>
      </c>
      <c r="R406" t="s">
        <v>913</v>
      </c>
      <c r="S406" t="s">
        <v>1834</v>
      </c>
      <c r="T406">
        <v>120</v>
      </c>
      <c r="U406" t="s">
        <v>693</v>
      </c>
      <c r="V406" t="s">
        <v>914</v>
      </c>
    </row>
    <row r="407" spans="12:22">
      <c r="L407" t="s">
        <v>911</v>
      </c>
      <c r="M407" t="s">
        <v>690</v>
      </c>
      <c r="N407" t="s">
        <v>881</v>
      </c>
      <c r="O407" t="s">
        <v>572</v>
      </c>
      <c r="P407" t="s">
        <v>573</v>
      </c>
      <c r="Q407" t="s">
        <v>912</v>
      </c>
      <c r="R407" t="s">
        <v>913</v>
      </c>
      <c r="S407" t="s">
        <v>1834</v>
      </c>
      <c r="T407">
        <v>120</v>
      </c>
      <c r="U407" t="s">
        <v>693</v>
      </c>
      <c r="V407" t="s">
        <v>914</v>
      </c>
    </row>
    <row r="408" spans="12:22">
      <c r="L408" t="s">
        <v>911</v>
      </c>
      <c r="M408" t="s">
        <v>690</v>
      </c>
      <c r="N408" t="s">
        <v>885</v>
      </c>
      <c r="O408" t="s">
        <v>572</v>
      </c>
      <c r="P408" t="s">
        <v>573</v>
      </c>
      <c r="Q408" t="s">
        <v>912</v>
      </c>
      <c r="R408" t="s">
        <v>913</v>
      </c>
      <c r="S408" t="s">
        <v>1834</v>
      </c>
      <c r="T408">
        <v>120</v>
      </c>
      <c r="U408" t="s">
        <v>693</v>
      </c>
      <c r="V408" t="s">
        <v>914</v>
      </c>
    </row>
    <row r="409" spans="12:22">
      <c r="L409" t="s">
        <v>911</v>
      </c>
      <c r="M409" t="s">
        <v>690</v>
      </c>
      <c r="N409" t="s">
        <v>897</v>
      </c>
      <c r="O409" t="s">
        <v>572</v>
      </c>
      <c r="P409" t="s">
        <v>573</v>
      </c>
      <c r="Q409" t="s">
        <v>912</v>
      </c>
      <c r="R409" t="s">
        <v>913</v>
      </c>
      <c r="S409" t="s">
        <v>1834</v>
      </c>
      <c r="T409">
        <v>120</v>
      </c>
      <c r="U409" t="s">
        <v>693</v>
      </c>
      <c r="V409" t="s">
        <v>914</v>
      </c>
    </row>
    <row r="410" spans="12:22">
      <c r="L410" t="s">
        <v>911</v>
      </c>
      <c r="M410" t="s">
        <v>690</v>
      </c>
      <c r="N410" t="s">
        <v>905</v>
      </c>
      <c r="O410" t="s">
        <v>572</v>
      </c>
      <c r="P410" t="s">
        <v>573</v>
      </c>
      <c r="Q410" t="s">
        <v>912</v>
      </c>
      <c r="R410" t="s">
        <v>913</v>
      </c>
      <c r="S410" t="s">
        <v>1834</v>
      </c>
      <c r="T410">
        <v>120</v>
      </c>
      <c r="U410" t="s">
        <v>693</v>
      </c>
      <c r="V410" t="s">
        <v>914</v>
      </c>
    </row>
    <row r="411" spans="12:22">
      <c r="L411" t="s">
        <v>911</v>
      </c>
      <c r="M411" t="s">
        <v>690</v>
      </c>
      <c r="N411" t="s">
        <v>907</v>
      </c>
      <c r="O411" t="s">
        <v>572</v>
      </c>
      <c r="P411" t="s">
        <v>573</v>
      </c>
      <c r="Q411" t="s">
        <v>912</v>
      </c>
      <c r="R411" t="s">
        <v>913</v>
      </c>
      <c r="S411" t="s">
        <v>1834</v>
      </c>
      <c r="T411">
        <v>120</v>
      </c>
      <c r="U411" t="s">
        <v>693</v>
      </c>
      <c r="V411" t="s">
        <v>914</v>
      </c>
    </row>
    <row r="412" spans="12:22">
      <c r="L412" t="s">
        <v>691</v>
      </c>
      <c r="M412" t="s">
        <v>690</v>
      </c>
      <c r="N412" t="s">
        <v>691</v>
      </c>
      <c r="O412" t="s">
        <v>572</v>
      </c>
      <c r="P412" t="s">
        <v>573</v>
      </c>
      <c r="Q412" t="s">
        <v>692</v>
      </c>
      <c r="R412" t="s">
        <v>68</v>
      </c>
      <c r="S412" t="s">
        <v>1782</v>
      </c>
      <c r="T412">
        <v>60</v>
      </c>
      <c r="U412" t="s">
        <v>693</v>
      </c>
      <c r="V412" t="s">
        <v>694</v>
      </c>
    </row>
    <row r="413" spans="12:22">
      <c r="L413" t="s">
        <v>1537</v>
      </c>
      <c r="M413" t="s">
        <v>1536</v>
      </c>
      <c r="N413" t="s">
        <v>1537</v>
      </c>
      <c r="O413" t="s">
        <v>42</v>
      </c>
      <c r="P413" t="s">
        <v>43</v>
      </c>
      <c r="Q413" t="s">
        <v>1538</v>
      </c>
      <c r="R413" t="s">
        <v>1539</v>
      </c>
      <c r="S413" t="s">
        <v>1952</v>
      </c>
      <c r="T413">
        <v>660</v>
      </c>
      <c r="U413" t="s">
        <v>1540</v>
      </c>
      <c r="V413" t="s">
        <v>1541</v>
      </c>
    </row>
    <row r="414" spans="12:22">
      <c r="L414" t="s">
        <v>863</v>
      </c>
      <c r="M414" t="s">
        <v>831</v>
      </c>
      <c r="N414" t="s">
        <v>863</v>
      </c>
      <c r="O414" t="s">
        <v>572</v>
      </c>
      <c r="P414" t="s">
        <v>573</v>
      </c>
      <c r="Q414" t="s">
        <v>874</v>
      </c>
      <c r="R414" t="s">
        <v>875</v>
      </c>
      <c r="S414" t="s">
        <v>1824</v>
      </c>
      <c r="T414">
        <v>60</v>
      </c>
      <c r="U414" t="s">
        <v>835</v>
      </c>
      <c r="V414" t="s">
        <v>876</v>
      </c>
    </row>
    <row r="415" spans="12:22">
      <c r="L415" t="s">
        <v>1543</v>
      </c>
      <c r="M415" t="s">
        <v>1542</v>
      </c>
      <c r="N415" t="s">
        <v>1543</v>
      </c>
      <c r="O415" t="s">
        <v>42</v>
      </c>
      <c r="P415" t="s">
        <v>43</v>
      </c>
      <c r="Q415" t="s">
        <v>1544</v>
      </c>
      <c r="R415" t="s">
        <v>1545</v>
      </c>
      <c r="S415" t="s">
        <v>1953</v>
      </c>
      <c r="T415">
        <v>660</v>
      </c>
      <c r="U415" t="s">
        <v>1546</v>
      </c>
      <c r="V415" t="s">
        <v>1547</v>
      </c>
    </row>
    <row r="416" spans="12:22">
      <c r="L416" t="s">
        <v>857</v>
      </c>
      <c r="M416" t="s">
        <v>831</v>
      </c>
      <c r="N416" t="s">
        <v>857</v>
      </c>
      <c r="O416" t="s">
        <v>572</v>
      </c>
      <c r="P416" t="s">
        <v>573</v>
      </c>
      <c r="Q416" t="s">
        <v>858</v>
      </c>
      <c r="R416" t="s">
        <v>859</v>
      </c>
      <c r="S416" t="s">
        <v>1820</v>
      </c>
      <c r="T416">
        <v>60</v>
      </c>
      <c r="U416" t="s">
        <v>835</v>
      </c>
      <c r="V416" t="s">
        <v>860</v>
      </c>
    </row>
    <row r="417" spans="12:22">
      <c r="L417" t="s">
        <v>857</v>
      </c>
      <c r="M417" t="s">
        <v>831</v>
      </c>
      <c r="N417" t="s">
        <v>832</v>
      </c>
      <c r="O417" t="s">
        <v>572</v>
      </c>
      <c r="P417" t="s">
        <v>573</v>
      </c>
      <c r="Q417" t="s">
        <v>858</v>
      </c>
      <c r="R417" t="s">
        <v>859</v>
      </c>
      <c r="S417" t="s">
        <v>1820</v>
      </c>
      <c r="T417">
        <v>60</v>
      </c>
      <c r="U417" t="s">
        <v>835</v>
      </c>
      <c r="V417" t="s">
        <v>860</v>
      </c>
    </row>
    <row r="418" spans="12:22">
      <c r="L418" t="s">
        <v>857</v>
      </c>
      <c r="M418" t="s">
        <v>831</v>
      </c>
      <c r="N418" t="s">
        <v>841</v>
      </c>
      <c r="O418" t="s">
        <v>572</v>
      </c>
      <c r="P418" t="s">
        <v>573</v>
      </c>
      <c r="Q418" t="s">
        <v>858</v>
      </c>
      <c r="R418" t="s">
        <v>859</v>
      </c>
      <c r="S418" t="s">
        <v>1820</v>
      </c>
      <c r="T418">
        <v>60</v>
      </c>
      <c r="U418" t="s">
        <v>835</v>
      </c>
      <c r="V418" t="s">
        <v>860</v>
      </c>
    </row>
    <row r="419" spans="12:22">
      <c r="L419" t="s">
        <v>857</v>
      </c>
      <c r="M419" t="s">
        <v>831</v>
      </c>
      <c r="N419" t="s">
        <v>849</v>
      </c>
      <c r="O419" t="s">
        <v>572</v>
      </c>
      <c r="P419" t="s">
        <v>573</v>
      </c>
      <c r="Q419" t="s">
        <v>858</v>
      </c>
      <c r="R419" t="s">
        <v>859</v>
      </c>
      <c r="S419" t="s">
        <v>1820</v>
      </c>
      <c r="T419">
        <v>60</v>
      </c>
      <c r="U419" t="s">
        <v>835</v>
      </c>
      <c r="V419" t="s">
        <v>860</v>
      </c>
    </row>
    <row r="420" spans="12:22">
      <c r="L420" t="s">
        <v>857</v>
      </c>
      <c r="M420" t="s">
        <v>831</v>
      </c>
      <c r="N420" t="s">
        <v>853</v>
      </c>
      <c r="O420" t="s">
        <v>572</v>
      </c>
      <c r="P420" t="s">
        <v>573</v>
      </c>
      <c r="Q420" t="s">
        <v>858</v>
      </c>
      <c r="R420" t="s">
        <v>859</v>
      </c>
      <c r="S420" t="s">
        <v>1820</v>
      </c>
      <c r="T420">
        <v>60</v>
      </c>
      <c r="U420" t="s">
        <v>835</v>
      </c>
      <c r="V420" t="s">
        <v>860</v>
      </c>
    </row>
    <row r="421" spans="12:22">
      <c r="L421" t="s">
        <v>857</v>
      </c>
      <c r="M421" t="s">
        <v>831</v>
      </c>
      <c r="N421" t="s">
        <v>861</v>
      </c>
      <c r="O421" t="s">
        <v>572</v>
      </c>
      <c r="P421" t="s">
        <v>573</v>
      </c>
      <c r="Q421" t="s">
        <v>858</v>
      </c>
      <c r="R421" t="s">
        <v>859</v>
      </c>
      <c r="S421" t="s">
        <v>1820</v>
      </c>
      <c r="T421">
        <v>60</v>
      </c>
      <c r="U421" t="s">
        <v>835</v>
      </c>
      <c r="V421" t="s">
        <v>860</v>
      </c>
    </row>
    <row r="422" spans="12:22">
      <c r="L422" t="s">
        <v>857</v>
      </c>
      <c r="M422" t="s">
        <v>831</v>
      </c>
      <c r="N422" t="s">
        <v>862</v>
      </c>
      <c r="O422" t="s">
        <v>572</v>
      </c>
      <c r="P422" t="s">
        <v>573</v>
      </c>
      <c r="Q422" t="s">
        <v>858</v>
      </c>
      <c r="R422" t="s">
        <v>859</v>
      </c>
      <c r="S422" t="s">
        <v>1820</v>
      </c>
      <c r="T422">
        <v>60</v>
      </c>
      <c r="U422" t="s">
        <v>835</v>
      </c>
      <c r="V422" t="s">
        <v>860</v>
      </c>
    </row>
    <row r="423" spans="12:22">
      <c r="L423" t="s">
        <v>857</v>
      </c>
      <c r="M423" t="s">
        <v>831</v>
      </c>
      <c r="N423" t="s">
        <v>837</v>
      </c>
      <c r="O423" t="s">
        <v>572</v>
      </c>
      <c r="P423" t="s">
        <v>573</v>
      </c>
      <c r="Q423" t="s">
        <v>858</v>
      </c>
      <c r="R423" t="s">
        <v>859</v>
      </c>
      <c r="S423" t="s">
        <v>1820</v>
      </c>
      <c r="T423">
        <v>60</v>
      </c>
      <c r="U423" t="s">
        <v>835</v>
      </c>
      <c r="V423" t="s">
        <v>860</v>
      </c>
    </row>
    <row r="424" spans="12:22">
      <c r="L424" t="s">
        <v>857</v>
      </c>
      <c r="M424" t="s">
        <v>831</v>
      </c>
      <c r="N424" t="s">
        <v>863</v>
      </c>
      <c r="O424" t="s">
        <v>572</v>
      </c>
      <c r="P424" t="s">
        <v>573</v>
      </c>
      <c r="Q424" t="s">
        <v>858</v>
      </c>
      <c r="R424" t="s">
        <v>859</v>
      </c>
      <c r="S424" t="s">
        <v>1820</v>
      </c>
      <c r="T424">
        <v>60</v>
      </c>
      <c r="U424" t="s">
        <v>835</v>
      </c>
      <c r="V424" t="s">
        <v>860</v>
      </c>
    </row>
    <row r="425" spans="12:22">
      <c r="L425" t="s">
        <v>857</v>
      </c>
      <c r="M425" t="s">
        <v>831</v>
      </c>
      <c r="N425" t="s">
        <v>845</v>
      </c>
      <c r="O425" t="s">
        <v>572</v>
      </c>
      <c r="P425" t="s">
        <v>573</v>
      </c>
      <c r="Q425" t="s">
        <v>858</v>
      </c>
      <c r="R425" t="s">
        <v>859</v>
      </c>
      <c r="S425" t="s">
        <v>1820</v>
      </c>
      <c r="T425">
        <v>60</v>
      </c>
      <c r="U425" t="s">
        <v>835</v>
      </c>
      <c r="V425" t="s">
        <v>860</v>
      </c>
    </row>
    <row r="426" spans="12:22">
      <c r="L426" t="s">
        <v>185</v>
      </c>
      <c r="M426" t="s">
        <v>163</v>
      </c>
      <c r="N426" t="s">
        <v>185</v>
      </c>
      <c r="O426" t="s">
        <v>68</v>
      </c>
      <c r="P426" t="s">
        <v>69</v>
      </c>
      <c r="Q426" t="s">
        <v>186</v>
      </c>
      <c r="R426" t="s">
        <v>187</v>
      </c>
      <c r="S426" t="s">
        <v>1683</v>
      </c>
      <c r="T426">
        <v>-360</v>
      </c>
      <c r="U426" t="s">
        <v>167</v>
      </c>
      <c r="V426" t="s">
        <v>188</v>
      </c>
    </row>
    <row r="427" spans="12:22">
      <c r="L427" t="s">
        <v>701</v>
      </c>
      <c r="M427" t="s">
        <v>695</v>
      </c>
      <c r="N427" t="s">
        <v>701</v>
      </c>
      <c r="O427" t="s">
        <v>564</v>
      </c>
      <c r="P427" t="s">
        <v>565</v>
      </c>
      <c r="Q427" t="s">
        <v>702</v>
      </c>
      <c r="R427" t="s">
        <v>703</v>
      </c>
      <c r="S427" t="s">
        <v>1784</v>
      </c>
      <c r="T427">
        <v>60</v>
      </c>
      <c r="U427" t="s">
        <v>699</v>
      </c>
      <c r="V427" t="s">
        <v>704</v>
      </c>
    </row>
    <row r="428" spans="12:22">
      <c r="L428" t="s">
        <v>725</v>
      </c>
      <c r="M428" t="s">
        <v>695</v>
      </c>
      <c r="N428" t="s">
        <v>725</v>
      </c>
      <c r="O428" t="s">
        <v>564</v>
      </c>
      <c r="P428" t="s">
        <v>565</v>
      </c>
      <c r="Q428" t="s">
        <v>765</v>
      </c>
      <c r="R428" t="s">
        <v>766</v>
      </c>
      <c r="S428" t="s">
        <v>1797</v>
      </c>
      <c r="T428">
        <v>60</v>
      </c>
      <c r="U428" t="s">
        <v>699</v>
      </c>
      <c r="V428" t="s">
        <v>767</v>
      </c>
    </row>
    <row r="429" spans="12:22">
      <c r="L429" t="s">
        <v>725</v>
      </c>
      <c r="M429" t="s">
        <v>695</v>
      </c>
      <c r="N429" t="s">
        <v>727</v>
      </c>
      <c r="O429" t="s">
        <v>564</v>
      </c>
      <c r="P429" t="s">
        <v>565</v>
      </c>
      <c r="Q429" t="s">
        <v>765</v>
      </c>
      <c r="R429" t="s">
        <v>766</v>
      </c>
      <c r="S429" t="s">
        <v>1797</v>
      </c>
      <c r="T429">
        <v>60</v>
      </c>
      <c r="U429" t="s">
        <v>699</v>
      </c>
      <c r="V429" t="s">
        <v>767</v>
      </c>
    </row>
    <row r="430" spans="12:22">
      <c r="L430" t="s">
        <v>1241</v>
      </c>
      <c r="M430" t="s">
        <v>1240</v>
      </c>
      <c r="N430" t="s">
        <v>1241</v>
      </c>
      <c r="O430" t="s">
        <v>56</v>
      </c>
      <c r="P430" t="s">
        <v>922</v>
      </c>
      <c r="Q430" t="s">
        <v>1242</v>
      </c>
      <c r="R430" t="s">
        <v>1243</v>
      </c>
      <c r="S430" t="s">
        <v>1900</v>
      </c>
      <c r="T430">
        <v>345</v>
      </c>
      <c r="U430" t="s">
        <v>1244</v>
      </c>
      <c r="V430" t="s">
        <v>1245</v>
      </c>
    </row>
    <row r="431" spans="12:22">
      <c r="L431" t="s">
        <v>1241</v>
      </c>
      <c r="M431" t="s">
        <v>1240</v>
      </c>
      <c r="N431" t="s">
        <v>1246</v>
      </c>
      <c r="O431" t="s">
        <v>56</v>
      </c>
      <c r="P431" t="s">
        <v>922</v>
      </c>
      <c r="Q431" t="s">
        <v>1242</v>
      </c>
      <c r="R431" t="s">
        <v>1243</v>
      </c>
      <c r="S431" t="s">
        <v>1900</v>
      </c>
      <c r="T431">
        <v>345</v>
      </c>
      <c r="U431" t="s">
        <v>1244</v>
      </c>
      <c r="V431" t="s">
        <v>1245</v>
      </c>
    </row>
    <row r="432" spans="12:22">
      <c r="L432" t="s">
        <v>1591</v>
      </c>
      <c r="M432" t="s">
        <v>1590</v>
      </c>
      <c r="N432" t="s">
        <v>1591</v>
      </c>
      <c r="O432" t="s">
        <v>42</v>
      </c>
      <c r="P432" t="s">
        <v>43</v>
      </c>
      <c r="Q432" t="s">
        <v>1592</v>
      </c>
      <c r="R432" t="s">
        <v>1593</v>
      </c>
      <c r="S432" t="s">
        <v>1960</v>
      </c>
      <c r="T432">
        <v>720</v>
      </c>
      <c r="U432" t="s">
        <v>1594</v>
      </c>
      <c r="V432" t="s">
        <v>1595</v>
      </c>
    </row>
    <row r="433" spans="12:22">
      <c r="L433" t="s">
        <v>41</v>
      </c>
      <c r="M433" t="s">
        <v>40</v>
      </c>
      <c r="N433" t="s">
        <v>41</v>
      </c>
      <c r="O433" t="s">
        <v>42</v>
      </c>
      <c r="P433" t="s">
        <v>43</v>
      </c>
      <c r="Q433" t="s">
        <v>44</v>
      </c>
      <c r="R433" t="s">
        <v>45</v>
      </c>
      <c r="S433" t="s">
        <v>1660</v>
      </c>
      <c r="T433">
        <v>-660</v>
      </c>
      <c r="U433" t="s">
        <v>46</v>
      </c>
      <c r="V433" t="s">
        <v>47</v>
      </c>
    </row>
    <row r="434" spans="12:22">
      <c r="L434" t="s">
        <v>1597</v>
      </c>
      <c r="M434" t="s">
        <v>1596</v>
      </c>
      <c r="N434" t="s">
        <v>1597</v>
      </c>
      <c r="O434" t="s">
        <v>42</v>
      </c>
      <c r="P434" t="s">
        <v>43</v>
      </c>
      <c r="Q434" t="s">
        <v>1598</v>
      </c>
      <c r="R434" t="s">
        <v>1599</v>
      </c>
      <c r="S434" t="s">
        <v>1961</v>
      </c>
      <c r="T434">
        <v>720</v>
      </c>
      <c r="U434" t="s">
        <v>1600</v>
      </c>
      <c r="V434" t="s">
        <v>1601</v>
      </c>
    </row>
    <row r="435" spans="12:22">
      <c r="L435" t="s">
        <v>1597</v>
      </c>
      <c r="M435" t="s">
        <v>1596</v>
      </c>
      <c r="N435" t="s">
        <v>1599</v>
      </c>
      <c r="O435" t="s">
        <v>42</v>
      </c>
      <c r="P435" t="s">
        <v>43</v>
      </c>
      <c r="Q435" t="s">
        <v>1598</v>
      </c>
      <c r="R435" t="s">
        <v>1599</v>
      </c>
      <c r="S435" t="s">
        <v>1961</v>
      </c>
      <c r="T435">
        <v>720</v>
      </c>
      <c r="U435" t="s">
        <v>1600</v>
      </c>
      <c r="V435" t="s">
        <v>1601</v>
      </c>
    </row>
    <row r="436" spans="12:22">
      <c r="L436" t="s">
        <v>1597</v>
      </c>
      <c r="M436" t="s">
        <v>1596</v>
      </c>
      <c r="N436" t="s">
        <v>1602</v>
      </c>
      <c r="O436" t="s">
        <v>42</v>
      </c>
      <c r="P436" t="s">
        <v>43</v>
      </c>
      <c r="Q436" t="s">
        <v>1598</v>
      </c>
      <c r="R436" t="s">
        <v>1599</v>
      </c>
      <c r="S436" t="s">
        <v>1961</v>
      </c>
      <c r="T436">
        <v>720</v>
      </c>
      <c r="U436" t="s">
        <v>1600</v>
      </c>
      <c r="V436" t="s">
        <v>1601</v>
      </c>
    </row>
    <row r="437" spans="12:22">
      <c r="L437" t="s">
        <v>1597</v>
      </c>
      <c r="M437" t="s">
        <v>1596</v>
      </c>
      <c r="N437" t="s">
        <v>1603</v>
      </c>
      <c r="O437" t="s">
        <v>42</v>
      </c>
      <c r="P437" t="s">
        <v>43</v>
      </c>
      <c r="Q437" t="s">
        <v>1598</v>
      </c>
      <c r="R437" t="s">
        <v>1599</v>
      </c>
      <c r="S437" t="s">
        <v>1961</v>
      </c>
      <c r="T437">
        <v>720</v>
      </c>
      <c r="U437" t="s">
        <v>1600</v>
      </c>
      <c r="V437" t="s">
        <v>1601</v>
      </c>
    </row>
    <row r="438" spans="12:22">
      <c r="L438" t="s">
        <v>1624</v>
      </c>
      <c r="M438" t="s">
        <v>1623</v>
      </c>
      <c r="N438" t="s">
        <v>1624</v>
      </c>
      <c r="O438" t="s">
        <v>42</v>
      </c>
      <c r="P438" t="s">
        <v>43</v>
      </c>
      <c r="Q438" t="s">
        <v>1598</v>
      </c>
      <c r="R438" t="s">
        <v>1599</v>
      </c>
      <c r="S438" t="s">
        <v>1967</v>
      </c>
      <c r="T438">
        <v>765</v>
      </c>
      <c r="U438" t="s">
        <v>1625</v>
      </c>
      <c r="V438" t="s">
        <v>1626</v>
      </c>
    </row>
    <row r="439" spans="12:22">
      <c r="L439" t="s">
        <v>1624</v>
      </c>
      <c r="M439" t="s">
        <v>1623</v>
      </c>
      <c r="N439" t="s">
        <v>1627</v>
      </c>
      <c r="O439" t="s">
        <v>42</v>
      </c>
      <c r="P439" t="s">
        <v>43</v>
      </c>
      <c r="Q439" t="s">
        <v>1598</v>
      </c>
      <c r="R439" t="s">
        <v>1599</v>
      </c>
      <c r="S439" t="s">
        <v>1967</v>
      </c>
      <c r="T439">
        <v>765</v>
      </c>
      <c r="U439" t="s">
        <v>1625</v>
      </c>
      <c r="V439" t="s">
        <v>1626</v>
      </c>
    </row>
    <row r="440" spans="12:22">
      <c r="L440" t="s">
        <v>1137</v>
      </c>
      <c r="M440" t="s">
        <v>1132</v>
      </c>
      <c r="N440" t="s">
        <v>1137</v>
      </c>
      <c r="O440" t="s">
        <v>56</v>
      </c>
      <c r="P440" t="s">
        <v>922</v>
      </c>
      <c r="Q440" t="s">
        <v>1140</v>
      </c>
      <c r="R440" t="s">
        <v>1141</v>
      </c>
      <c r="S440" t="s">
        <v>1883</v>
      </c>
      <c r="T440">
        <v>240</v>
      </c>
      <c r="U440" t="s">
        <v>560</v>
      </c>
      <c r="V440" t="s">
        <v>1142</v>
      </c>
    </row>
    <row r="441" spans="12:22">
      <c r="L441" t="s">
        <v>296</v>
      </c>
      <c r="M441" t="s">
        <v>256</v>
      </c>
      <c r="N441" t="s">
        <v>296</v>
      </c>
      <c r="O441" t="s">
        <v>68</v>
      </c>
      <c r="P441" t="s">
        <v>69</v>
      </c>
      <c r="Q441" t="s">
        <v>297</v>
      </c>
      <c r="R441" t="s">
        <v>298</v>
      </c>
      <c r="S441" t="s">
        <v>1703</v>
      </c>
      <c r="T441">
        <v>-300</v>
      </c>
      <c r="U441" t="s">
        <v>258</v>
      </c>
      <c r="V441" t="s">
        <v>299</v>
      </c>
    </row>
    <row r="442" spans="12:22">
      <c r="L442" t="s">
        <v>296</v>
      </c>
      <c r="M442" t="s">
        <v>256</v>
      </c>
      <c r="N442" t="s">
        <v>258</v>
      </c>
      <c r="O442" t="s">
        <v>68</v>
      </c>
      <c r="P442" t="s">
        <v>69</v>
      </c>
      <c r="Q442" t="s">
        <v>297</v>
      </c>
      <c r="R442" t="s">
        <v>298</v>
      </c>
      <c r="S442" t="s">
        <v>1703</v>
      </c>
      <c r="T442">
        <v>-300</v>
      </c>
      <c r="U442" t="s">
        <v>258</v>
      </c>
      <c r="V442" t="s">
        <v>299</v>
      </c>
    </row>
    <row r="443" spans="12:22">
      <c r="L443" t="s">
        <v>296</v>
      </c>
      <c r="M443" t="s">
        <v>256</v>
      </c>
      <c r="N443" t="s">
        <v>257</v>
      </c>
      <c r="O443" t="s">
        <v>68</v>
      </c>
      <c r="P443" t="s">
        <v>69</v>
      </c>
      <c r="Q443" t="s">
        <v>297</v>
      </c>
      <c r="R443" t="s">
        <v>298</v>
      </c>
      <c r="S443" t="s">
        <v>1703</v>
      </c>
      <c r="T443">
        <v>-300</v>
      </c>
      <c r="U443" t="s">
        <v>258</v>
      </c>
      <c r="V443" t="s">
        <v>299</v>
      </c>
    </row>
    <row r="444" spans="12:22">
      <c r="L444" t="s">
        <v>296</v>
      </c>
      <c r="M444" t="s">
        <v>256</v>
      </c>
      <c r="N444" t="s">
        <v>266</v>
      </c>
      <c r="O444" t="s">
        <v>68</v>
      </c>
      <c r="P444" t="s">
        <v>69</v>
      </c>
      <c r="Q444" t="s">
        <v>297</v>
      </c>
      <c r="R444" t="s">
        <v>298</v>
      </c>
      <c r="S444" t="s">
        <v>1703</v>
      </c>
      <c r="T444">
        <v>-300</v>
      </c>
      <c r="U444" t="s">
        <v>258</v>
      </c>
      <c r="V444" t="s">
        <v>299</v>
      </c>
    </row>
    <row r="445" spans="12:22">
      <c r="L445" t="s">
        <v>296</v>
      </c>
      <c r="M445" t="s">
        <v>256</v>
      </c>
      <c r="N445" t="s">
        <v>300</v>
      </c>
      <c r="O445" t="s">
        <v>68</v>
      </c>
      <c r="P445" t="s">
        <v>69</v>
      </c>
      <c r="Q445" t="s">
        <v>297</v>
      </c>
      <c r="R445" t="s">
        <v>298</v>
      </c>
      <c r="S445" t="s">
        <v>1703</v>
      </c>
      <c r="T445">
        <v>-300</v>
      </c>
      <c r="U445" t="s">
        <v>258</v>
      </c>
      <c r="V445" t="s">
        <v>299</v>
      </c>
    </row>
    <row r="446" spans="12:22">
      <c r="L446" t="s">
        <v>318</v>
      </c>
      <c r="M446" t="s">
        <v>317</v>
      </c>
      <c r="N446" t="s">
        <v>318</v>
      </c>
      <c r="O446" t="s">
        <v>223</v>
      </c>
      <c r="P446" t="s">
        <v>224</v>
      </c>
      <c r="Q446" t="s">
        <v>319</v>
      </c>
      <c r="R446" t="s">
        <v>320</v>
      </c>
      <c r="S446" t="s">
        <v>1707</v>
      </c>
      <c r="T446">
        <v>-300</v>
      </c>
      <c r="U446" t="s">
        <v>321</v>
      </c>
      <c r="V446" t="s">
        <v>322</v>
      </c>
    </row>
    <row r="447" spans="12:22">
      <c r="L447" t="s">
        <v>82</v>
      </c>
      <c r="M447" t="s">
        <v>81</v>
      </c>
      <c r="N447" t="s">
        <v>82</v>
      </c>
      <c r="O447" t="s">
        <v>42</v>
      </c>
      <c r="P447" t="s">
        <v>43</v>
      </c>
      <c r="Q447" t="s">
        <v>83</v>
      </c>
      <c r="R447" t="s">
        <v>84</v>
      </c>
      <c r="S447" t="s">
        <v>1666</v>
      </c>
      <c r="T447">
        <v>-600</v>
      </c>
      <c r="U447" t="s">
        <v>85</v>
      </c>
      <c r="V447" t="s">
        <v>86</v>
      </c>
    </row>
    <row r="448" spans="12:22">
      <c r="L448" t="s">
        <v>88</v>
      </c>
      <c r="M448" t="s">
        <v>87</v>
      </c>
      <c r="N448" t="s">
        <v>88</v>
      </c>
      <c r="O448" t="s">
        <v>42</v>
      </c>
      <c r="P448" t="s">
        <v>43</v>
      </c>
      <c r="Q448" t="s">
        <v>83</v>
      </c>
      <c r="R448" t="s">
        <v>84</v>
      </c>
      <c r="S448" t="s">
        <v>1667</v>
      </c>
      <c r="T448">
        <v>-570</v>
      </c>
      <c r="U448" t="s">
        <v>89</v>
      </c>
      <c r="V448" t="s">
        <v>90</v>
      </c>
    </row>
    <row r="449" spans="12:22">
      <c r="L449" t="s">
        <v>102</v>
      </c>
      <c r="M449" t="s">
        <v>101</v>
      </c>
      <c r="N449" t="s">
        <v>102</v>
      </c>
      <c r="O449" t="s">
        <v>42</v>
      </c>
      <c r="P449" t="s">
        <v>43</v>
      </c>
      <c r="Q449" t="s">
        <v>83</v>
      </c>
      <c r="R449" t="s">
        <v>84</v>
      </c>
      <c r="S449" t="s">
        <v>1669</v>
      </c>
      <c r="T449">
        <v>-540</v>
      </c>
      <c r="U449" t="s">
        <v>103</v>
      </c>
      <c r="V449" t="s">
        <v>104</v>
      </c>
    </row>
    <row r="450" spans="12:22">
      <c r="L450" t="s">
        <v>1513</v>
      </c>
      <c r="M450" t="s">
        <v>1512</v>
      </c>
      <c r="N450" t="s">
        <v>1513</v>
      </c>
      <c r="O450" t="s">
        <v>42</v>
      </c>
      <c r="P450" t="s">
        <v>43</v>
      </c>
      <c r="Q450" t="s">
        <v>1514</v>
      </c>
      <c r="R450" t="s">
        <v>1515</v>
      </c>
      <c r="S450" t="s">
        <v>1947</v>
      </c>
      <c r="T450">
        <v>600</v>
      </c>
      <c r="U450" t="s">
        <v>1516</v>
      </c>
      <c r="V450" t="s">
        <v>1517</v>
      </c>
    </row>
    <row r="451" spans="12:22">
      <c r="L451" t="s">
        <v>1513</v>
      </c>
      <c r="M451" t="s">
        <v>1512</v>
      </c>
      <c r="N451" t="s">
        <v>1509</v>
      </c>
      <c r="O451" t="s">
        <v>42</v>
      </c>
      <c r="P451" t="s">
        <v>43</v>
      </c>
      <c r="Q451" t="s">
        <v>1514</v>
      </c>
      <c r="R451" t="s">
        <v>1515</v>
      </c>
      <c r="S451" t="s">
        <v>1947</v>
      </c>
      <c r="T451">
        <v>600</v>
      </c>
      <c r="U451" t="s">
        <v>1516</v>
      </c>
      <c r="V451" t="s">
        <v>1517</v>
      </c>
    </row>
    <row r="452" spans="12:22">
      <c r="L452" t="s">
        <v>1513</v>
      </c>
      <c r="M452" t="s">
        <v>1512</v>
      </c>
      <c r="N452" t="s">
        <v>1501</v>
      </c>
      <c r="O452" t="s">
        <v>42</v>
      </c>
      <c r="P452" t="s">
        <v>43</v>
      </c>
      <c r="Q452" t="s">
        <v>1514</v>
      </c>
      <c r="R452" t="s">
        <v>1515</v>
      </c>
      <c r="S452" t="s">
        <v>1947</v>
      </c>
      <c r="T452">
        <v>600</v>
      </c>
      <c r="U452" t="s">
        <v>1516</v>
      </c>
      <c r="V452" t="s">
        <v>1517</v>
      </c>
    </row>
    <row r="453" spans="12:22">
      <c r="L453" t="s">
        <v>1513</v>
      </c>
      <c r="M453" t="s">
        <v>1512</v>
      </c>
      <c r="N453" t="s">
        <v>1507</v>
      </c>
      <c r="O453" t="s">
        <v>42</v>
      </c>
      <c r="P453" t="s">
        <v>43</v>
      </c>
      <c r="Q453" t="s">
        <v>1514</v>
      </c>
      <c r="R453" t="s">
        <v>1515</v>
      </c>
      <c r="S453" t="s">
        <v>1947</v>
      </c>
      <c r="T453">
        <v>600</v>
      </c>
      <c r="U453" t="s">
        <v>1516</v>
      </c>
      <c r="V453" t="s">
        <v>1517</v>
      </c>
    </row>
    <row r="454" spans="12:22">
      <c r="L454" t="s">
        <v>1513</v>
      </c>
      <c r="M454" t="s">
        <v>1512</v>
      </c>
      <c r="N454" t="s">
        <v>1506</v>
      </c>
      <c r="O454" t="s">
        <v>42</v>
      </c>
      <c r="P454" t="s">
        <v>43</v>
      </c>
      <c r="Q454" t="s">
        <v>1514</v>
      </c>
      <c r="R454" t="s">
        <v>1515</v>
      </c>
      <c r="S454" t="s">
        <v>1947</v>
      </c>
      <c r="T454">
        <v>600</v>
      </c>
      <c r="U454" t="s">
        <v>1516</v>
      </c>
      <c r="V454" t="s">
        <v>1517</v>
      </c>
    </row>
    <row r="455" spans="12:22">
      <c r="L455" t="s">
        <v>1529</v>
      </c>
      <c r="M455" t="s">
        <v>1528</v>
      </c>
      <c r="N455" t="s">
        <v>1529</v>
      </c>
      <c r="O455" t="s">
        <v>42</v>
      </c>
      <c r="P455" t="s">
        <v>43</v>
      </c>
      <c r="Q455" t="s">
        <v>1514</v>
      </c>
      <c r="R455" t="s">
        <v>1515</v>
      </c>
      <c r="S455" t="s">
        <v>1950</v>
      </c>
      <c r="T455">
        <v>660</v>
      </c>
      <c r="U455" t="s">
        <v>1251</v>
      </c>
      <c r="V455" t="s">
        <v>1530</v>
      </c>
    </row>
    <row r="456" spans="12:22">
      <c r="L456" t="s">
        <v>1396</v>
      </c>
      <c r="M456" t="s">
        <v>1395</v>
      </c>
      <c r="N456" t="s">
        <v>1396</v>
      </c>
      <c r="O456" t="s">
        <v>56</v>
      </c>
      <c r="P456" t="s">
        <v>922</v>
      </c>
      <c r="Q456" t="s">
        <v>1397</v>
      </c>
      <c r="R456" t="s">
        <v>1398</v>
      </c>
      <c r="S456" t="s">
        <v>1927</v>
      </c>
      <c r="T456">
        <v>480</v>
      </c>
      <c r="U456" t="s">
        <v>1399</v>
      </c>
      <c r="V456" t="s">
        <v>1400</v>
      </c>
    </row>
    <row r="457" spans="12:22">
      <c r="L457" t="s">
        <v>1189</v>
      </c>
      <c r="M457" t="s">
        <v>1188</v>
      </c>
      <c r="N457" t="s">
        <v>1189</v>
      </c>
      <c r="O457" t="s">
        <v>56</v>
      </c>
      <c r="P457" t="s">
        <v>922</v>
      </c>
      <c r="Q457" t="s">
        <v>1190</v>
      </c>
      <c r="R457" t="s">
        <v>1191</v>
      </c>
      <c r="S457" t="s">
        <v>1892</v>
      </c>
      <c r="T457">
        <v>300</v>
      </c>
      <c r="U457" t="s">
        <v>1192</v>
      </c>
      <c r="V457" t="s">
        <v>1193</v>
      </c>
    </row>
    <row r="458" spans="12:22">
      <c r="L458" t="s">
        <v>820</v>
      </c>
      <c r="M458" t="s">
        <v>695</v>
      </c>
      <c r="N458" t="s">
        <v>820</v>
      </c>
      <c r="O458" t="s">
        <v>564</v>
      </c>
      <c r="P458" t="s">
        <v>565</v>
      </c>
      <c r="Q458" t="s">
        <v>821</v>
      </c>
      <c r="R458" t="s">
        <v>822</v>
      </c>
      <c r="S458" t="s">
        <v>1811</v>
      </c>
      <c r="T458">
        <v>60</v>
      </c>
      <c r="U458" t="s">
        <v>699</v>
      </c>
      <c r="V458" t="s">
        <v>823</v>
      </c>
    </row>
    <row r="459" spans="12:22">
      <c r="L459" t="s">
        <v>820</v>
      </c>
      <c r="M459" t="s">
        <v>695</v>
      </c>
      <c r="N459" t="s">
        <v>821</v>
      </c>
      <c r="O459" t="s">
        <v>564</v>
      </c>
      <c r="P459" t="s">
        <v>565</v>
      </c>
      <c r="Q459" t="s">
        <v>821</v>
      </c>
      <c r="R459" t="s">
        <v>822</v>
      </c>
      <c r="S459" t="s">
        <v>1811</v>
      </c>
      <c r="T459">
        <v>60</v>
      </c>
      <c r="U459" t="s">
        <v>699</v>
      </c>
      <c r="V459" t="s">
        <v>823</v>
      </c>
    </row>
    <row r="460" spans="12:22">
      <c r="L460" t="s">
        <v>530</v>
      </c>
      <c r="M460" t="s">
        <v>529</v>
      </c>
      <c r="N460" t="s">
        <v>530</v>
      </c>
      <c r="O460" t="s">
        <v>68</v>
      </c>
      <c r="P460" t="s">
        <v>69</v>
      </c>
      <c r="Q460" t="s">
        <v>531</v>
      </c>
      <c r="R460" t="s">
        <v>532</v>
      </c>
      <c r="S460" t="s">
        <v>1747</v>
      </c>
      <c r="T460">
        <v>-180</v>
      </c>
      <c r="U460" t="s">
        <v>532</v>
      </c>
      <c r="V460" t="s">
        <v>533</v>
      </c>
    </row>
    <row r="461" spans="12:22">
      <c r="L461" t="s">
        <v>124</v>
      </c>
      <c r="M461" t="s">
        <v>123</v>
      </c>
      <c r="N461" t="s">
        <v>124</v>
      </c>
      <c r="O461" t="s">
        <v>42</v>
      </c>
      <c r="P461" t="s">
        <v>43</v>
      </c>
      <c r="Q461" t="s">
        <v>125</v>
      </c>
      <c r="R461" t="s">
        <v>126</v>
      </c>
      <c r="S461" t="s">
        <v>1673</v>
      </c>
      <c r="T461">
        <v>-480</v>
      </c>
      <c r="U461" t="s">
        <v>107</v>
      </c>
      <c r="V461" t="s">
        <v>127</v>
      </c>
    </row>
    <row r="462" spans="12:22">
      <c r="L462" t="s">
        <v>418</v>
      </c>
      <c r="M462" t="s">
        <v>332</v>
      </c>
      <c r="N462" t="s">
        <v>418</v>
      </c>
      <c r="O462" t="s">
        <v>68</v>
      </c>
      <c r="P462" t="s">
        <v>69</v>
      </c>
      <c r="Q462" t="s">
        <v>419</v>
      </c>
      <c r="R462" t="s">
        <v>420</v>
      </c>
      <c r="S462" t="s">
        <v>1730</v>
      </c>
      <c r="T462">
        <v>-240</v>
      </c>
      <c r="U462" t="s">
        <v>336</v>
      </c>
      <c r="V462" t="s">
        <v>421</v>
      </c>
    </row>
    <row r="463" spans="12:22">
      <c r="L463" t="s">
        <v>418</v>
      </c>
      <c r="M463" t="s">
        <v>332</v>
      </c>
      <c r="N463" t="s">
        <v>422</v>
      </c>
      <c r="O463" t="s">
        <v>68</v>
      </c>
      <c r="P463" t="s">
        <v>69</v>
      </c>
      <c r="Q463" t="s">
        <v>419</v>
      </c>
      <c r="R463" t="s">
        <v>420</v>
      </c>
      <c r="S463" t="s">
        <v>1730</v>
      </c>
      <c r="T463">
        <v>-240</v>
      </c>
      <c r="U463" t="s">
        <v>336</v>
      </c>
      <c r="V463" t="s">
        <v>421</v>
      </c>
    </row>
    <row r="464" spans="12:22">
      <c r="L464" t="s">
        <v>418</v>
      </c>
      <c r="M464" t="s">
        <v>332</v>
      </c>
      <c r="N464" t="s">
        <v>423</v>
      </c>
      <c r="O464" t="s">
        <v>68</v>
      </c>
      <c r="P464" t="s">
        <v>69</v>
      </c>
      <c r="Q464" t="s">
        <v>419</v>
      </c>
      <c r="R464" t="s">
        <v>420</v>
      </c>
      <c r="S464" t="s">
        <v>1730</v>
      </c>
      <c r="T464">
        <v>-240</v>
      </c>
      <c r="U464" t="s">
        <v>336</v>
      </c>
      <c r="V464" t="s">
        <v>421</v>
      </c>
    </row>
    <row r="465" spans="12:22">
      <c r="L465" t="s">
        <v>418</v>
      </c>
      <c r="M465" t="s">
        <v>332</v>
      </c>
      <c r="N465" t="s">
        <v>414</v>
      </c>
      <c r="O465" t="s">
        <v>68</v>
      </c>
      <c r="P465" t="s">
        <v>69</v>
      </c>
      <c r="Q465" t="s">
        <v>419</v>
      </c>
      <c r="R465" t="s">
        <v>420</v>
      </c>
      <c r="S465" t="s">
        <v>1730</v>
      </c>
      <c r="T465">
        <v>-240</v>
      </c>
      <c r="U465" t="s">
        <v>336</v>
      </c>
      <c r="V465" t="s">
        <v>421</v>
      </c>
    </row>
    <row r="466" spans="12:22">
      <c r="L466" t="s">
        <v>418</v>
      </c>
      <c r="M466" t="s">
        <v>332</v>
      </c>
      <c r="N466" t="s">
        <v>390</v>
      </c>
      <c r="O466" t="s">
        <v>68</v>
      </c>
      <c r="P466" t="s">
        <v>69</v>
      </c>
      <c r="Q466" t="s">
        <v>419</v>
      </c>
      <c r="R466" t="s">
        <v>420</v>
      </c>
      <c r="S466" t="s">
        <v>1730</v>
      </c>
      <c r="T466">
        <v>-240</v>
      </c>
      <c r="U466" t="s">
        <v>336</v>
      </c>
      <c r="V466" t="s">
        <v>421</v>
      </c>
    </row>
    <row r="467" spans="12:22">
      <c r="L467" t="s">
        <v>418</v>
      </c>
      <c r="M467" t="s">
        <v>332</v>
      </c>
      <c r="N467" t="s">
        <v>338</v>
      </c>
      <c r="O467" t="s">
        <v>68</v>
      </c>
      <c r="P467" t="s">
        <v>69</v>
      </c>
      <c r="Q467" t="s">
        <v>419</v>
      </c>
      <c r="R467" t="s">
        <v>420</v>
      </c>
      <c r="S467" t="s">
        <v>1730</v>
      </c>
      <c r="T467">
        <v>-240</v>
      </c>
      <c r="U467" t="s">
        <v>336</v>
      </c>
      <c r="V467" t="s">
        <v>421</v>
      </c>
    </row>
    <row r="468" spans="12:22">
      <c r="L468" t="s">
        <v>418</v>
      </c>
      <c r="M468" t="s">
        <v>332</v>
      </c>
      <c r="N468" t="s">
        <v>424</v>
      </c>
      <c r="O468" t="s">
        <v>68</v>
      </c>
      <c r="P468" t="s">
        <v>69</v>
      </c>
      <c r="Q468" t="s">
        <v>419</v>
      </c>
      <c r="R468" t="s">
        <v>420</v>
      </c>
      <c r="S468" t="s">
        <v>1730</v>
      </c>
      <c r="T468">
        <v>-240</v>
      </c>
      <c r="U468" t="s">
        <v>336</v>
      </c>
      <c r="V468" t="s">
        <v>421</v>
      </c>
    </row>
    <row r="469" spans="12:22">
      <c r="L469" t="s">
        <v>418</v>
      </c>
      <c r="M469" t="s">
        <v>332</v>
      </c>
      <c r="N469" t="s">
        <v>402</v>
      </c>
      <c r="O469" t="s">
        <v>68</v>
      </c>
      <c r="P469" t="s">
        <v>69</v>
      </c>
      <c r="Q469" t="s">
        <v>419</v>
      </c>
      <c r="R469" t="s">
        <v>420</v>
      </c>
      <c r="S469" t="s">
        <v>1730</v>
      </c>
      <c r="T469">
        <v>-240</v>
      </c>
      <c r="U469" t="s">
        <v>336</v>
      </c>
      <c r="V469" t="s">
        <v>421</v>
      </c>
    </row>
    <row r="470" spans="12:22">
      <c r="L470" t="s">
        <v>418</v>
      </c>
      <c r="M470" t="s">
        <v>332</v>
      </c>
      <c r="N470" t="s">
        <v>410</v>
      </c>
      <c r="O470" t="s">
        <v>68</v>
      </c>
      <c r="P470" t="s">
        <v>69</v>
      </c>
      <c r="Q470" t="s">
        <v>419</v>
      </c>
      <c r="R470" t="s">
        <v>420</v>
      </c>
      <c r="S470" t="s">
        <v>1730</v>
      </c>
      <c r="T470">
        <v>-240</v>
      </c>
      <c r="U470" t="s">
        <v>336</v>
      </c>
      <c r="V470" t="s">
        <v>421</v>
      </c>
    </row>
    <row r="471" spans="12:22">
      <c r="L471" t="s">
        <v>418</v>
      </c>
      <c r="M471" t="s">
        <v>332</v>
      </c>
      <c r="N471" t="s">
        <v>382</v>
      </c>
      <c r="O471" t="s">
        <v>68</v>
      </c>
      <c r="P471" t="s">
        <v>69</v>
      </c>
      <c r="Q471" t="s">
        <v>419</v>
      </c>
      <c r="R471" t="s">
        <v>420</v>
      </c>
      <c r="S471" t="s">
        <v>1730</v>
      </c>
      <c r="T471">
        <v>-240</v>
      </c>
      <c r="U471" t="s">
        <v>336</v>
      </c>
      <c r="V471" t="s">
        <v>421</v>
      </c>
    </row>
    <row r="472" spans="12:22">
      <c r="L472" t="s">
        <v>418</v>
      </c>
      <c r="M472" t="s">
        <v>332</v>
      </c>
      <c r="N472" t="s">
        <v>378</v>
      </c>
      <c r="O472" t="s">
        <v>68</v>
      </c>
      <c r="P472" t="s">
        <v>69</v>
      </c>
      <c r="Q472" t="s">
        <v>419</v>
      </c>
      <c r="R472" t="s">
        <v>420</v>
      </c>
      <c r="S472" t="s">
        <v>1730</v>
      </c>
      <c r="T472">
        <v>-240</v>
      </c>
      <c r="U472" t="s">
        <v>336</v>
      </c>
      <c r="V472" t="s">
        <v>421</v>
      </c>
    </row>
    <row r="473" spans="12:22">
      <c r="L473" t="s">
        <v>418</v>
      </c>
      <c r="M473" t="s">
        <v>332</v>
      </c>
      <c r="N473" t="s">
        <v>394</v>
      </c>
      <c r="O473" t="s">
        <v>68</v>
      </c>
      <c r="P473" t="s">
        <v>69</v>
      </c>
      <c r="Q473" t="s">
        <v>419</v>
      </c>
      <c r="R473" t="s">
        <v>420</v>
      </c>
      <c r="S473" t="s">
        <v>1730</v>
      </c>
      <c r="T473">
        <v>-240</v>
      </c>
      <c r="U473" t="s">
        <v>336</v>
      </c>
      <c r="V473" t="s">
        <v>421</v>
      </c>
    </row>
    <row r="474" spans="12:22">
      <c r="L474" t="s">
        <v>418</v>
      </c>
      <c r="M474" t="s">
        <v>332</v>
      </c>
      <c r="N474" t="s">
        <v>386</v>
      </c>
      <c r="O474" t="s">
        <v>68</v>
      </c>
      <c r="P474" t="s">
        <v>69</v>
      </c>
      <c r="Q474" t="s">
        <v>419</v>
      </c>
      <c r="R474" t="s">
        <v>420</v>
      </c>
      <c r="S474" t="s">
        <v>1730</v>
      </c>
      <c r="T474">
        <v>-240</v>
      </c>
      <c r="U474" t="s">
        <v>336</v>
      </c>
      <c r="V474" t="s">
        <v>421</v>
      </c>
    </row>
    <row r="475" spans="12:22">
      <c r="L475" t="s">
        <v>418</v>
      </c>
      <c r="M475" t="s">
        <v>332</v>
      </c>
      <c r="N475" t="s">
        <v>340</v>
      </c>
      <c r="O475" t="s">
        <v>68</v>
      </c>
      <c r="P475" t="s">
        <v>69</v>
      </c>
      <c r="Q475" t="s">
        <v>419</v>
      </c>
      <c r="R475" t="s">
        <v>420</v>
      </c>
      <c r="S475" t="s">
        <v>1730</v>
      </c>
      <c r="T475">
        <v>-240</v>
      </c>
      <c r="U475" t="s">
        <v>336</v>
      </c>
      <c r="V475" t="s">
        <v>421</v>
      </c>
    </row>
    <row r="476" spans="12:22">
      <c r="L476" t="s">
        <v>418</v>
      </c>
      <c r="M476" t="s">
        <v>332</v>
      </c>
      <c r="N476" t="s">
        <v>348</v>
      </c>
      <c r="O476" t="s">
        <v>68</v>
      </c>
      <c r="P476" t="s">
        <v>69</v>
      </c>
      <c r="Q476" t="s">
        <v>419</v>
      </c>
      <c r="R476" t="s">
        <v>420</v>
      </c>
      <c r="S476" t="s">
        <v>1730</v>
      </c>
      <c r="T476">
        <v>-240</v>
      </c>
      <c r="U476" t="s">
        <v>336</v>
      </c>
      <c r="V476" t="s">
        <v>421</v>
      </c>
    </row>
    <row r="477" spans="12:22">
      <c r="L477" t="s">
        <v>418</v>
      </c>
      <c r="M477" t="s">
        <v>332</v>
      </c>
      <c r="N477" t="s">
        <v>360</v>
      </c>
      <c r="O477" t="s">
        <v>68</v>
      </c>
      <c r="P477" t="s">
        <v>69</v>
      </c>
      <c r="Q477" t="s">
        <v>419</v>
      </c>
      <c r="R477" t="s">
        <v>420</v>
      </c>
      <c r="S477" t="s">
        <v>1730</v>
      </c>
      <c r="T477">
        <v>-240</v>
      </c>
      <c r="U477" t="s">
        <v>336</v>
      </c>
      <c r="V477" t="s">
        <v>421</v>
      </c>
    </row>
    <row r="478" spans="12:22">
      <c r="L478" t="s">
        <v>418</v>
      </c>
      <c r="M478" t="s">
        <v>332</v>
      </c>
      <c r="N478" t="s">
        <v>333</v>
      </c>
      <c r="O478" t="s">
        <v>68</v>
      </c>
      <c r="P478" t="s">
        <v>69</v>
      </c>
      <c r="Q478" t="s">
        <v>419</v>
      </c>
      <c r="R478" t="s">
        <v>420</v>
      </c>
      <c r="S478" t="s">
        <v>1730</v>
      </c>
      <c r="T478">
        <v>-240</v>
      </c>
      <c r="U478" t="s">
        <v>336</v>
      </c>
      <c r="V478" t="s">
        <v>421</v>
      </c>
    </row>
    <row r="479" spans="12:22">
      <c r="L479" t="s">
        <v>418</v>
      </c>
      <c r="M479" t="s">
        <v>332</v>
      </c>
      <c r="N479" t="s">
        <v>356</v>
      </c>
      <c r="O479" t="s">
        <v>68</v>
      </c>
      <c r="P479" t="s">
        <v>69</v>
      </c>
      <c r="Q479" t="s">
        <v>419</v>
      </c>
      <c r="R479" t="s">
        <v>420</v>
      </c>
      <c r="S479" t="s">
        <v>1730</v>
      </c>
      <c r="T479">
        <v>-240</v>
      </c>
      <c r="U479" t="s">
        <v>336</v>
      </c>
      <c r="V479" t="s">
        <v>421</v>
      </c>
    </row>
    <row r="480" spans="12:22">
      <c r="L480" t="s">
        <v>418</v>
      </c>
      <c r="M480" t="s">
        <v>332</v>
      </c>
      <c r="N480" t="s">
        <v>406</v>
      </c>
      <c r="O480" t="s">
        <v>68</v>
      </c>
      <c r="P480" t="s">
        <v>69</v>
      </c>
      <c r="Q480" t="s">
        <v>419</v>
      </c>
      <c r="R480" t="s">
        <v>420</v>
      </c>
      <c r="S480" t="s">
        <v>1730</v>
      </c>
      <c r="T480">
        <v>-240</v>
      </c>
      <c r="U480" t="s">
        <v>336</v>
      </c>
      <c r="V480" t="s">
        <v>421</v>
      </c>
    </row>
    <row r="481" spans="12:22">
      <c r="L481" t="s">
        <v>418</v>
      </c>
      <c r="M481" t="s">
        <v>332</v>
      </c>
      <c r="N481" t="s">
        <v>374</v>
      </c>
      <c r="O481" t="s">
        <v>68</v>
      </c>
      <c r="P481" t="s">
        <v>69</v>
      </c>
      <c r="Q481" t="s">
        <v>419</v>
      </c>
      <c r="R481" t="s">
        <v>420</v>
      </c>
      <c r="S481" t="s">
        <v>1730</v>
      </c>
      <c r="T481">
        <v>-240</v>
      </c>
      <c r="U481" t="s">
        <v>336</v>
      </c>
      <c r="V481" t="s">
        <v>421</v>
      </c>
    </row>
    <row r="482" spans="12:22">
      <c r="L482" t="s">
        <v>418</v>
      </c>
      <c r="M482" t="s">
        <v>332</v>
      </c>
      <c r="N482" t="s">
        <v>398</v>
      </c>
      <c r="O482" t="s">
        <v>68</v>
      </c>
      <c r="P482" t="s">
        <v>69</v>
      </c>
      <c r="Q482" t="s">
        <v>419</v>
      </c>
      <c r="R482" t="s">
        <v>420</v>
      </c>
      <c r="S482" t="s">
        <v>1730</v>
      </c>
      <c r="T482">
        <v>-240</v>
      </c>
      <c r="U482" t="s">
        <v>336</v>
      </c>
      <c r="V482" t="s">
        <v>421</v>
      </c>
    </row>
    <row r="483" spans="12:22">
      <c r="L483" t="s">
        <v>943</v>
      </c>
      <c r="M483" t="s">
        <v>915</v>
      </c>
      <c r="N483" t="s">
        <v>939</v>
      </c>
      <c r="O483" t="s">
        <v>56</v>
      </c>
      <c r="P483" t="s">
        <v>922</v>
      </c>
      <c r="Q483" t="s">
        <v>940</v>
      </c>
      <c r="R483" t="s">
        <v>941</v>
      </c>
      <c r="S483" t="s">
        <v>1840</v>
      </c>
      <c r="T483">
        <v>120</v>
      </c>
      <c r="U483" t="s">
        <v>919</v>
      </c>
      <c r="V483" t="s">
        <v>942</v>
      </c>
    </row>
    <row r="484" spans="12:22">
      <c r="L484" t="s">
        <v>943</v>
      </c>
      <c r="M484" t="s">
        <v>915</v>
      </c>
      <c r="N484" t="s">
        <v>943</v>
      </c>
      <c r="O484" t="s">
        <v>56</v>
      </c>
      <c r="P484" t="s">
        <v>922</v>
      </c>
      <c r="Q484" t="s">
        <v>940</v>
      </c>
      <c r="R484" t="s">
        <v>941</v>
      </c>
      <c r="S484" t="s">
        <v>1840</v>
      </c>
      <c r="T484">
        <v>120</v>
      </c>
      <c r="U484" t="s">
        <v>919</v>
      </c>
      <c r="V484" t="s">
        <v>942</v>
      </c>
    </row>
    <row r="485" spans="12:22">
      <c r="L485" t="s">
        <v>563</v>
      </c>
      <c r="M485" t="s">
        <v>562</v>
      </c>
      <c r="N485" t="s">
        <v>563</v>
      </c>
      <c r="O485" t="s">
        <v>564</v>
      </c>
      <c r="P485" t="s">
        <v>565</v>
      </c>
      <c r="Q485" t="s">
        <v>566</v>
      </c>
      <c r="R485" t="s">
        <v>567</v>
      </c>
      <c r="S485" t="s">
        <v>1753</v>
      </c>
      <c r="T485">
        <v>-60</v>
      </c>
      <c r="U485" t="s">
        <v>568</v>
      </c>
      <c r="V485" t="s">
        <v>569</v>
      </c>
    </row>
    <row r="486" spans="12:22">
      <c r="L486" t="s">
        <v>684</v>
      </c>
      <c r="M486" t="s">
        <v>668</v>
      </c>
      <c r="N486" t="s">
        <v>682</v>
      </c>
      <c r="O486" t="s">
        <v>564</v>
      </c>
      <c r="P486" t="s">
        <v>565</v>
      </c>
      <c r="Q486" t="s">
        <v>566</v>
      </c>
      <c r="R486" t="s">
        <v>567</v>
      </c>
      <c r="S486" t="s">
        <v>1780</v>
      </c>
      <c r="T486">
        <v>0</v>
      </c>
      <c r="U486" t="s">
        <v>672</v>
      </c>
      <c r="V486" t="s">
        <v>683</v>
      </c>
    </row>
    <row r="487" spans="12:22">
      <c r="L487" t="s">
        <v>684</v>
      </c>
      <c r="M487" t="s">
        <v>668</v>
      </c>
      <c r="N487" t="s">
        <v>684</v>
      </c>
      <c r="O487" t="s">
        <v>564</v>
      </c>
      <c r="P487" t="s">
        <v>565</v>
      </c>
      <c r="Q487" t="s">
        <v>566</v>
      </c>
      <c r="R487" t="s">
        <v>567</v>
      </c>
      <c r="S487" t="s">
        <v>1780</v>
      </c>
      <c r="T487">
        <v>0</v>
      </c>
      <c r="U487" t="s">
        <v>672</v>
      </c>
      <c r="V487" t="s">
        <v>683</v>
      </c>
    </row>
    <row r="488" spans="12:22">
      <c r="L488" t="s">
        <v>684</v>
      </c>
      <c r="M488" t="s">
        <v>668</v>
      </c>
      <c r="N488" t="s">
        <v>566</v>
      </c>
      <c r="O488" t="s">
        <v>564</v>
      </c>
      <c r="P488" t="s">
        <v>565</v>
      </c>
      <c r="Q488" t="s">
        <v>566</v>
      </c>
      <c r="R488" t="s">
        <v>567</v>
      </c>
      <c r="S488" t="s">
        <v>1780</v>
      </c>
      <c r="T488">
        <v>0</v>
      </c>
      <c r="U488" t="s">
        <v>672</v>
      </c>
      <c r="V488" t="s">
        <v>683</v>
      </c>
    </row>
    <row r="489" spans="12:22">
      <c r="L489" t="s">
        <v>684</v>
      </c>
      <c r="M489" t="s">
        <v>668</v>
      </c>
      <c r="N489" t="s">
        <v>672</v>
      </c>
      <c r="O489" t="s">
        <v>564</v>
      </c>
      <c r="P489" t="s">
        <v>565</v>
      </c>
      <c r="Q489" t="s">
        <v>566</v>
      </c>
      <c r="R489" t="s">
        <v>567</v>
      </c>
      <c r="S489" t="s">
        <v>1780</v>
      </c>
      <c r="T489">
        <v>0</v>
      </c>
      <c r="U489" t="s">
        <v>672</v>
      </c>
      <c r="V489" t="s">
        <v>683</v>
      </c>
    </row>
    <row r="490" spans="12:22">
      <c r="L490" t="s">
        <v>1452</v>
      </c>
      <c r="M490" t="s">
        <v>1451</v>
      </c>
      <c r="N490" t="s">
        <v>1452</v>
      </c>
      <c r="O490" t="s">
        <v>42</v>
      </c>
      <c r="P490" t="s">
        <v>43</v>
      </c>
      <c r="Q490" t="s">
        <v>1453</v>
      </c>
      <c r="R490" t="s">
        <v>1454</v>
      </c>
      <c r="S490" t="s">
        <v>1937</v>
      </c>
      <c r="T490">
        <v>540</v>
      </c>
      <c r="U490" t="s">
        <v>1455</v>
      </c>
      <c r="V490" t="s">
        <v>1456</v>
      </c>
    </row>
    <row r="491" spans="12:22">
      <c r="L491" t="s">
        <v>524</v>
      </c>
      <c r="M491" t="s">
        <v>523</v>
      </c>
      <c r="N491" t="s">
        <v>524</v>
      </c>
      <c r="O491" t="s">
        <v>223</v>
      </c>
      <c r="P491" t="s">
        <v>224</v>
      </c>
      <c r="Q491" t="s">
        <v>525</v>
      </c>
      <c r="R491" t="s">
        <v>526</v>
      </c>
      <c r="S491" t="s">
        <v>1746</v>
      </c>
      <c r="T491">
        <v>-180</v>
      </c>
      <c r="U491" t="s">
        <v>527</v>
      </c>
      <c r="V491" t="s">
        <v>528</v>
      </c>
    </row>
    <row r="492" spans="12:22">
      <c r="L492" t="s">
        <v>1023</v>
      </c>
      <c r="M492" t="s">
        <v>1010</v>
      </c>
      <c r="N492" t="s">
        <v>1023</v>
      </c>
      <c r="O492" t="s">
        <v>56</v>
      </c>
      <c r="P492" t="s">
        <v>922</v>
      </c>
      <c r="Q492" t="s">
        <v>1024</v>
      </c>
      <c r="R492" t="s">
        <v>1025</v>
      </c>
      <c r="S492" t="s">
        <v>1858</v>
      </c>
      <c r="T492">
        <v>180</v>
      </c>
      <c r="U492" t="s">
        <v>336</v>
      </c>
      <c r="V492" t="s">
        <v>1026</v>
      </c>
    </row>
    <row r="493" spans="12:22">
      <c r="L493" t="s">
        <v>1023</v>
      </c>
      <c r="M493" t="s">
        <v>1010</v>
      </c>
      <c r="N493" t="s">
        <v>1015</v>
      </c>
      <c r="O493" t="s">
        <v>56</v>
      </c>
      <c r="P493" t="s">
        <v>922</v>
      </c>
      <c r="Q493" t="s">
        <v>1024</v>
      </c>
      <c r="R493" t="s">
        <v>1025</v>
      </c>
      <c r="S493" t="s">
        <v>1858</v>
      </c>
      <c r="T493">
        <v>180</v>
      </c>
      <c r="U493" t="s">
        <v>336</v>
      </c>
      <c r="V493" t="s">
        <v>1026</v>
      </c>
    </row>
    <row r="494" spans="12:22">
      <c r="L494" t="s">
        <v>1139</v>
      </c>
      <c r="M494" t="s">
        <v>1149</v>
      </c>
      <c r="N494" t="s">
        <v>1139</v>
      </c>
      <c r="O494" t="s">
        <v>572</v>
      </c>
      <c r="P494" t="s">
        <v>573</v>
      </c>
      <c r="Q494" t="s">
        <v>1150</v>
      </c>
      <c r="R494" t="s">
        <v>1151</v>
      </c>
      <c r="S494" t="s">
        <v>1885</v>
      </c>
      <c r="T494">
        <v>240</v>
      </c>
      <c r="U494" t="s">
        <v>1152</v>
      </c>
      <c r="V494" t="s">
        <v>1153</v>
      </c>
    </row>
    <row r="495" spans="12:22">
      <c r="L495" t="s">
        <v>926</v>
      </c>
      <c r="M495" t="s">
        <v>915</v>
      </c>
      <c r="N495" t="s">
        <v>926</v>
      </c>
      <c r="O495" t="s">
        <v>564</v>
      </c>
      <c r="P495" t="s">
        <v>565</v>
      </c>
      <c r="Q495" t="s">
        <v>927</v>
      </c>
      <c r="R495" t="s">
        <v>928</v>
      </c>
      <c r="S495" t="s">
        <v>1837</v>
      </c>
      <c r="T495">
        <v>120</v>
      </c>
      <c r="U495" t="s">
        <v>919</v>
      </c>
      <c r="V495" t="s">
        <v>929</v>
      </c>
    </row>
    <row r="496" spans="12:22">
      <c r="L496" t="s">
        <v>709</v>
      </c>
      <c r="M496" t="s">
        <v>695</v>
      </c>
      <c r="N496" t="s">
        <v>709</v>
      </c>
      <c r="O496" t="s">
        <v>564</v>
      </c>
      <c r="P496" t="s">
        <v>565</v>
      </c>
      <c r="Q496" t="s">
        <v>710</v>
      </c>
      <c r="R496" t="s">
        <v>711</v>
      </c>
      <c r="S496" t="s">
        <v>1786</v>
      </c>
      <c r="T496">
        <v>60</v>
      </c>
      <c r="U496" t="s">
        <v>699</v>
      </c>
      <c r="V496" t="s">
        <v>712</v>
      </c>
    </row>
    <row r="497" spans="12:22">
      <c r="L497" t="s">
        <v>709</v>
      </c>
      <c r="M497" t="s">
        <v>695</v>
      </c>
      <c r="N497" t="s">
        <v>713</v>
      </c>
      <c r="O497" t="s">
        <v>564</v>
      </c>
      <c r="P497" t="s">
        <v>565</v>
      </c>
      <c r="Q497" t="s">
        <v>710</v>
      </c>
      <c r="R497" t="s">
        <v>711</v>
      </c>
      <c r="S497" t="s">
        <v>1786</v>
      </c>
      <c r="T497">
        <v>60</v>
      </c>
      <c r="U497" t="s">
        <v>699</v>
      </c>
      <c r="V497" t="s">
        <v>712</v>
      </c>
    </row>
    <row r="498" spans="12:22">
      <c r="L498" t="s">
        <v>709</v>
      </c>
      <c r="M498" t="s">
        <v>695</v>
      </c>
      <c r="N498" t="s">
        <v>714</v>
      </c>
      <c r="O498" t="s">
        <v>564</v>
      </c>
      <c r="P498" t="s">
        <v>565</v>
      </c>
      <c r="Q498" t="s">
        <v>710</v>
      </c>
      <c r="R498" t="s">
        <v>711</v>
      </c>
      <c r="S498" t="s">
        <v>1786</v>
      </c>
      <c r="T498">
        <v>60</v>
      </c>
      <c r="U498" t="s">
        <v>699</v>
      </c>
      <c r="V498" t="s">
        <v>712</v>
      </c>
    </row>
    <row r="499" spans="12:22">
      <c r="L499" t="s">
        <v>709</v>
      </c>
      <c r="M499" t="s">
        <v>695</v>
      </c>
      <c r="N499" t="s">
        <v>715</v>
      </c>
      <c r="O499" t="s">
        <v>564</v>
      </c>
      <c r="P499" t="s">
        <v>565</v>
      </c>
      <c r="Q499" t="s">
        <v>710</v>
      </c>
      <c r="R499" t="s">
        <v>711</v>
      </c>
      <c r="S499" t="s">
        <v>1786</v>
      </c>
      <c r="T499">
        <v>60</v>
      </c>
      <c r="U499" t="s">
        <v>699</v>
      </c>
      <c r="V499" t="s">
        <v>712</v>
      </c>
    </row>
    <row r="500" spans="12:22">
      <c r="L500" t="s">
        <v>709</v>
      </c>
      <c r="M500" t="s">
        <v>695</v>
      </c>
      <c r="N500" t="s">
        <v>716</v>
      </c>
      <c r="O500" t="s">
        <v>564</v>
      </c>
      <c r="P500" t="s">
        <v>565</v>
      </c>
      <c r="Q500" t="s">
        <v>710</v>
      </c>
      <c r="R500" t="s">
        <v>711</v>
      </c>
      <c r="S500" t="s">
        <v>1786</v>
      </c>
      <c r="T500">
        <v>60</v>
      </c>
      <c r="U500" t="s">
        <v>699</v>
      </c>
      <c r="V500" t="s">
        <v>712</v>
      </c>
    </row>
    <row r="501" spans="12:22">
      <c r="L501" t="s">
        <v>709</v>
      </c>
      <c r="M501" t="s">
        <v>695</v>
      </c>
      <c r="N501" t="s">
        <v>717</v>
      </c>
      <c r="O501" t="s">
        <v>564</v>
      </c>
      <c r="P501" t="s">
        <v>565</v>
      </c>
      <c r="Q501" t="s">
        <v>710</v>
      </c>
      <c r="R501" t="s">
        <v>711</v>
      </c>
      <c r="S501" t="s">
        <v>1786</v>
      </c>
      <c r="T501">
        <v>60</v>
      </c>
      <c r="U501" t="s">
        <v>699</v>
      </c>
      <c r="V501" t="s">
        <v>712</v>
      </c>
    </row>
    <row r="502" spans="12:22">
      <c r="L502" t="s">
        <v>949</v>
      </c>
      <c r="M502" t="s">
        <v>915</v>
      </c>
      <c r="N502" t="s">
        <v>949</v>
      </c>
      <c r="O502" t="s">
        <v>564</v>
      </c>
      <c r="P502" t="s">
        <v>565</v>
      </c>
      <c r="Q502" t="s">
        <v>950</v>
      </c>
      <c r="R502" t="s">
        <v>951</v>
      </c>
      <c r="S502" t="s">
        <v>1842</v>
      </c>
      <c r="T502">
        <v>120</v>
      </c>
      <c r="U502" t="s">
        <v>919</v>
      </c>
      <c r="V502" t="s">
        <v>952</v>
      </c>
    </row>
    <row r="503" spans="12:22">
      <c r="L503" t="s">
        <v>1094</v>
      </c>
      <c r="M503" t="s">
        <v>1086</v>
      </c>
      <c r="N503" t="s">
        <v>1092</v>
      </c>
      <c r="O503" t="s">
        <v>564</v>
      </c>
      <c r="P503" t="s">
        <v>565</v>
      </c>
      <c r="Q503" t="s">
        <v>950</v>
      </c>
      <c r="R503" t="s">
        <v>951</v>
      </c>
      <c r="S503" t="s">
        <v>1874</v>
      </c>
      <c r="T503">
        <v>180</v>
      </c>
      <c r="U503" t="s">
        <v>1090</v>
      </c>
      <c r="V503" t="s">
        <v>1093</v>
      </c>
    </row>
    <row r="504" spans="12:22">
      <c r="L504" t="s">
        <v>1094</v>
      </c>
      <c r="M504" t="s">
        <v>1086</v>
      </c>
      <c r="N504" t="s">
        <v>1094</v>
      </c>
      <c r="O504" t="s">
        <v>564</v>
      </c>
      <c r="P504" t="s">
        <v>565</v>
      </c>
      <c r="Q504" t="s">
        <v>950</v>
      </c>
      <c r="R504" t="s">
        <v>951</v>
      </c>
      <c r="S504" t="s">
        <v>1874</v>
      </c>
      <c r="T504">
        <v>180</v>
      </c>
      <c r="U504" t="s">
        <v>1090</v>
      </c>
      <c r="V504" t="s">
        <v>1093</v>
      </c>
    </row>
    <row r="505" spans="12:22">
      <c r="L505" t="s">
        <v>1094</v>
      </c>
      <c r="M505" t="s">
        <v>1086</v>
      </c>
      <c r="N505" t="s">
        <v>1095</v>
      </c>
      <c r="O505" t="s">
        <v>564</v>
      </c>
      <c r="P505" t="s">
        <v>565</v>
      </c>
      <c r="Q505" t="s">
        <v>950</v>
      </c>
      <c r="R505" t="s">
        <v>951</v>
      </c>
      <c r="S505" t="s">
        <v>1874</v>
      </c>
      <c r="T505">
        <v>180</v>
      </c>
      <c r="U505" t="s">
        <v>1090</v>
      </c>
      <c r="V505" t="s">
        <v>1093</v>
      </c>
    </row>
    <row r="506" spans="12:22">
      <c r="L506" t="s">
        <v>1094</v>
      </c>
      <c r="M506" t="s">
        <v>1086</v>
      </c>
      <c r="N506" t="s">
        <v>1096</v>
      </c>
      <c r="O506" t="s">
        <v>564</v>
      </c>
      <c r="P506" t="s">
        <v>565</v>
      </c>
      <c r="Q506" t="s">
        <v>950</v>
      </c>
      <c r="R506" t="s">
        <v>951</v>
      </c>
      <c r="S506" t="s">
        <v>1874</v>
      </c>
      <c r="T506">
        <v>180</v>
      </c>
      <c r="U506" t="s">
        <v>1090</v>
      </c>
      <c r="V506" t="s">
        <v>1093</v>
      </c>
    </row>
    <row r="507" spans="12:22">
      <c r="L507" t="s">
        <v>1158</v>
      </c>
      <c r="M507" t="s">
        <v>1154</v>
      </c>
      <c r="N507" t="s">
        <v>1155</v>
      </c>
      <c r="O507" t="s">
        <v>564</v>
      </c>
      <c r="P507" t="s">
        <v>565</v>
      </c>
      <c r="Q507" t="s">
        <v>950</v>
      </c>
      <c r="R507" t="s">
        <v>951</v>
      </c>
      <c r="S507" t="s">
        <v>1886</v>
      </c>
      <c r="T507">
        <v>240</v>
      </c>
      <c r="U507" t="s">
        <v>1156</v>
      </c>
      <c r="V507" t="s">
        <v>1157</v>
      </c>
    </row>
    <row r="508" spans="12:22">
      <c r="L508" t="s">
        <v>1158</v>
      </c>
      <c r="M508" t="s">
        <v>1154</v>
      </c>
      <c r="N508" t="s">
        <v>1158</v>
      </c>
      <c r="O508" t="s">
        <v>564</v>
      </c>
      <c r="P508" t="s">
        <v>565</v>
      </c>
      <c r="Q508" t="s">
        <v>950</v>
      </c>
      <c r="R508" t="s">
        <v>951</v>
      </c>
      <c r="S508" t="s">
        <v>1886</v>
      </c>
      <c r="T508">
        <v>240</v>
      </c>
      <c r="U508" t="s">
        <v>1156</v>
      </c>
      <c r="V508" t="s">
        <v>1157</v>
      </c>
    </row>
    <row r="509" spans="12:22">
      <c r="L509" t="s">
        <v>1158</v>
      </c>
      <c r="M509" t="s">
        <v>1154</v>
      </c>
      <c r="N509" t="s">
        <v>1159</v>
      </c>
      <c r="O509" t="s">
        <v>564</v>
      </c>
      <c r="P509" t="s">
        <v>565</v>
      </c>
      <c r="Q509" t="s">
        <v>950</v>
      </c>
      <c r="R509" t="s">
        <v>951</v>
      </c>
      <c r="S509" t="s">
        <v>1886</v>
      </c>
      <c r="T509">
        <v>240</v>
      </c>
      <c r="U509" t="s">
        <v>1156</v>
      </c>
      <c r="V509" t="s">
        <v>1157</v>
      </c>
    </row>
    <row r="510" spans="12:22">
      <c r="L510" t="s">
        <v>1158</v>
      </c>
      <c r="M510" t="s">
        <v>1154</v>
      </c>
      <c r="N510" t="s">
        <v>1160</v>
      </c>
      <c r="O510" t="s">
        <v>564</v>
      </c>
      <c r="P510" t="s">
        <v>565</v>
      </c>
      <c r="Q510" t="s">
        <v>950</v>
      </c>
      <c r="R510" t="s">
        <v>951</v>
      </c>
      <c r="S510" t="s">
        <v>1886</v>
      </c>
      <c r="T510">
        <v>240</v>
      </c>
      <c r="U510" t="s">
        <v>1156</v>
      </c>
      <c r="V510" t="s">
        <v>1157</v>
      </c>
    </row>
    <row r="511" spans="12:22">
      <c r="L511" t="s">
        <v>1227</v>
      </c>
      <c r="M511" t="s">
        <v>1226</v>
      </c>
      <c r="N511" t="s">
        <v>1227</v>
      </c>
      <c r="O511" t="s">
        <v>564</v>
      </c>
      <c r="P511" t="s">
        <v>565</v>
      </c>
      <c r="Q511" t="s">
        <v>950</v>
      </c>
      <c r="R511" t="s">
        <v>951</v>
      </c>
      <c r="S511" t="s">
        <v>1897</v>
      </c>
      <c r="T511">
        <v>300</v>
      </c>
      <c r="U511" t="s">
        <v>1228</v>
      </c>
      <c r="V511" t="s">
        <v>1229</v>
      </c>
    </row>
    <row r="512" spans="12:22">
      <c r="L512" t="s">
        <v>1280</v>
      </c>
      <c r="M512" t="s">
        <v>1279</v>
      </c>
      <c r="N512" t="s">
        <v>1280</v>
      </c>
      <c r="O512" t="s">
        <v>564</v>
      </c>
      <c r="P512" t="s">
        <v>565</v>
      </c>
      <c r="Q512" t="s">
        <v>950</v>
      </c>
      <c r="R512" t="s">
        <v>951</v>
      </c>
      <c r="S512" t="s">
        <v>1906</v>
      </c>
      <c r="T512">
        <v>360</v>
      </c>
      <c r="U512" t="s">
        <v>1281</v>
      </c>
      <c r="V512" t="s">
        <v>1282</v>
      </c>
    </row>
    <row r="513" spans="12:22">
      <c r="L513" t="s">
        <v>1337</v>
      </c>
      <c r="M513" t="s">
        <v>1331</v>
      </c>
      <c r="N513" t="s">
        <v>1332</v>
      </c>
      <c r="O513" t="s">
        <v>564</v>
      </c>
      <c r="P513" t="s">
        <v>565</v>
      </c>
      <c r="Q513" t="s">
        <v>950</v>
      </c>
      <c r="R513" t="s">
        <v>951</v>
      </c>
      <c r="S513" t="s">
        <v>1916</v>
      </c>
      <c r="T513">
        <v>420</v>
      </c>
      <c r="U513" t="s">
        <v>1333</v>
      </c>
      <c r="V513" t="s">
        <v>1334</v>
      </c>
    </row>
    <row r="514" spans="12:22">
      <c r="L514" t="s">
        <v>1337</v>
      </c>
      <c r="M514" t="s">
        <v>1331</v>
      </c>
      <c r="N514" t="s">
        <v>1335</v>
      </c>
      <c r="O514" t="s">
        <v>564</v>
      </c>
      <c r="P514" t="s">
        <v>565</v>
      </c>
      <c r="Q514" t="s">
        <v>950</v>
      </c>
      <c r="R514" t="s">
        <v>951</v>
      </c>
      <c r="S514" t="s">
        <v>1916</v>
      </c>
      <c r="T514">
        <v>420</v>
      </c>
      <c r="U514" t="s">
        <v>1333</v>
      </c>
      <c r="V514" t="s">
        <v>1334</v>
      </c>
    </row>
    <row r="515" spans="12:22">
      <c r="L515" t="s">
        <v>1337</v>
      </c>
      <c r="M515" t="s">
        <v>1331</v>
      </c>
      <c r="N515" t="s">
        <v>1336</v>
      </c>
      <c r="O515" t="s">
        <v>564</v>
      </c>
      <c r="P515" t="s">
        <v>565</v>
      </c>
      <c r="Q515" t="s">
        <v>950</v>
      </c>
      <c r="R515" t="s">
        <v>951</v>
      </c>
      <c r="S515" t="s">
        <v>1916</v>
      </c>
      <c r="T515">
        <v>420</v>
      </c>
      <c r="U515" t="s">
        <v>1333</v>
      </c>
      <c r="V515" t="s">
        <v>1334</v>
      </c>
    </row>
    <row r="516" spans="12:22">
      <c r="L516" t="s">
        <v>1337</v>
      </c>
      <c r="M516" t="s">
        <v>1331</v>
      </c>
      <c r="N516" t="s">
        <v>1337</v>
      </c>
      <c r="O516" t="s">
        <v>564</v>
      </c>
      <c r="P516" t="s">
        <v>565</v>
      </c>
      <c r="Q516" t="s">
        <v>950</v>
      </c>
      <c r="R516" t="s">
        <v>951</v>
      </c>
      <c r="S516" t="s">
        <v>1916</v>
      </c>
      <c r="T516">
        <v>420</v>
      </c>
      <c r="U516" t="s">
        <v>1333</v>
      </c>
      <c r="V516" t="s">
        <v>1334</v>
      </c>
    </row>
    <row r="517" spans="12:22">
      <c r="L517" t="s">
        <v>1337</v>
      </c>
      <c r="M517" t="s">
        <v>1331</v>
      </c>
      <c r="N517" t="s">
        <v>1338</v>
      </c>
      <c r="O517" t="s">
        <v>564</v>
      </c>
      <c r="P517" t="s">
        <v>565</v>
      </c>
      <c r="Q517" t="s">
        <v>950</v>
      </c>
      <c r="R517" t="s">
        <v>951</v>
      </c>
      <c r="S517" t="s">
        <v>1916</v>
      </c>
      <c r="T517">
        <v>420</v>
      </c>
      <c r="U517" t="s">
        <v>1333</v>
      </c>
      <c r="V517" t="s">
        <v>1334</v>
      </c>
    </row>
    <row r="518" spans="12:22">
      <c r="L518" t="s">
        <v>1385</v>
      </c>
      <c r="M518" t="s">
        <v>1384</v>
      </c>
      <c r="N518" t="s">
        <v>1385</v>
      </c>
      <c r="O518" t="s">
        <v>564</v>
      </c>
      <c r="P518" t="s">
        <v>565</v>
      </c>
      <c r="Q518" t="s">
        <v>950</v>
      </c>
      <c r="R518" t="s">
        <v>951</v>
      </c>
      <c r="S518" t="s">
        <v>1925</v>
      </c>
      <c r="T518">
        <v>480</v>
      </c>
      <c r="U518" t="s">
        <v>1386</v>
      </c>
      <c r="V518" t="s">
        <v>1387</v>
      </c>
    </row>
    <row r="519" spans="12:22">
      <c r="L519" t="s">
        <v>1458</v>
      </c>
      <c r="M519" t="s">
        <v>1457</v>
      </c>
      <c r="N519" t="s">
        <v>1458</v>
      </c>
      <c r="O519" t="s">
        <v>564</v>
      </c>
      <c r="P519" t="s">
        <v>565</v>
      </c>
      <c r="Q519" t="s">
        <v>950</v>
      </c>
      <c r="R519" t="s">
        <v>951</v>
      </c>
      <c r="S519" t="s">
        <v>1938</v>
      </c>
      <c r="T519">
        <v>540</v>
      </c>
      <c r="U519" t="s">
        <v>1459</v>
      </c>
      <c r="V519" t="s">
        <v>1460</v>
      </c>
    </row>
    <row r="520" spans="12:22">
      <c r="L520" t="s">
        <v>1458</v>
      </c>
      <c r="M520" t="s">
        <v>1457</v>
      </c>
      <c r="N520" t="s">
        <v>1461</v>
      </c>
      <c r="O520" t="s">
        <v>564</v>
      </c>
      <c r="P520" t="s">
        <v>565</v>
      </c>
      <c r="Q520" t="s">
        <v>950</v>
      </c>
      <c r="R520" t="s">
        <v>951</v>
      </c>
      <c r="S520" t="s">
        <v>1938</v>
      </c>
      <c r="T520">
        <v>540</v>
      </c>
      <c r="U520" t="s">
        <v>1459</v>
      </c>
      <c r="V520" t="s">
        <v>1460</v>
      </c>
    </row>
    <row r="521" spans="12:22">
      <c r="L521" t="s">
        <v>1458</v>
      </c>
      <c r="M521" t="s">
        <v>1457</v>
      </c>
      <c r="N521" t="s">
        <v>1462</v>
      </c>
      <c r="O521" t="s">
        <v>564</v>
      </c>
      <c r="P521" t="s">
        <v>565</v>
      </c>
      <c r="Q521" t="s">
        <v>950</v>
      </c>
      <c r="R521" t="s">
        <v>951</v>
      </c>
      <c r="S521" t="s">
        <v>1938</v>
      </c>
      <c r="T521">
        <v>540</v>
      </c>
      <c r="U521" t="s">
        <v>1459</v>
      </c>
      <c r="V521" t="s">
        <v>1460</v>
      </c>
    </row>
    <row r="522" spans="12:22">
      <c r="L522" t="s">
        <v>1522</v>
      </c>
      <c r="M522" t="s">
        <v>1518</v>
      </c>
      <c r="N522" t="s">
        <v>1519</v>
      </c>
      <c r="O522" t="s">
        <v>564</v>
      </c>
      <c r="P522" t="s">
        <v>565</v>
      </c>
      <c r="Q522" t="s">
        <v>950</v>
      </c>
      <c r="R522" t="s">
        <v>951</v>
      </c>
      <c r="S522" t="s">
        <v>1948</v>
      </c>
      <c r="T522">
        <v>600</v>
      </c>
      <c r="U522" t="s">
        <v>1520</v>
      </c>
      <c r="V522" t="s">
        <v>1521</v>
      </c>
    </row>
    <row r="523" spans="12:22">
      <c r="L523" t="s">
        <v>1522</v>
      </c>
      <c r="M523" t="s">
        <v>1518</v>
      </c>
      <c r="N523" t="s">
        <v>1522</v>
      </c>
      <c r="O523" t="s">
        <v>564</v>
      </c>
      <c r="P523" t="s">
        <v>565</v>
      </c>
      <c r="Q523" t="s">
        <v>950</v>
      </c>
      <c r="R523" t="s">
        <v>951</v>
      </c>
      <c r="S523" t="s">
        <v>1948</v>
      </c>
      <c r="T523">
        <v>600</v>
      </c>
      <c r="U523" t="s">
        <v>1520</v>
      </c>
      <c r="V523" t="s">
        <v>1521</v>
      </c>
    </row>
    <row r="524" spans="12:22">
      <c r="L524" t="s">
        <v>1552</v>
      </c>
      <c r="M524" t="s">
        <v>1548</v>
      </c>
      <c r="N524" t="s">
        <v>1549</v>
      </c>
      <c r="O524" t="s">
        <v>564</v>
      </c>
      <c r="P524" t="s">
        <v>565</v>
      </c>
      <c r="Q524" t="s">
        <v>950</v>
      </c>
      <c r="R524" t="s">
        <v>951</v>
      </c>
      <c r="S524" t="s">
        <v>1954</v>
      </c>
      <c r="T524">
        <v>660</v>
      </c>
      <c r="U524" t="s">
        <v>1550</v>
      </c>
      <c r="V524" t="s">
        <v>1551</v>
      </c>
    </row>
    <row r="525" spans="12:22">
      <c r="L525" t="s">
        <v>1552</v>
      </c>
      <c r="M525" t="s">
        <v>1548</v>
      </c>
      <c r="N525" t="s">
        <v>1552</v>
      </c>
      <c r="O525" t="s">
        <v>564</v>
      </c>
      <c r="P525" t="s">
        <v>565</v>
      </c>
      <c r="Q525" t="s">
        <v>950</v>
      </c>
      <c r="R525" t="s">
        <v>951</v>
      </c>
      <c r="S525" t="s">
        <v>1954</v>
      </c>
      <c r="T525">
        <v>660</v>
      </c>
      <c r="U525" t="s">
        <v>1550</v>
      </c>
      <c r="V525" t="s">
        <v>1551</v>
      </c>
    </row>
    <row r="526" spans="12:22">
      <c r="L526" t="s">
        <v>1552</v>
      </c>
      <c r="M526" t="s">
        <v>1548</v>
      </c>
      <c r="N526" t="s">
        <v>1553</v>
      </c>
      <c r="O526" t="s">
        <v>564</v>
      </c>
      <c r="P526" t="s">
        <v>565</v>
      </c>
      <c r="Q526" t="s">
        <v>950</v>
      </c>
      <c r="R526" t="s">
        <v>951</v>
      </c>
      <c r="S526" t="s">
        <v>1954</v>
      </c>
      <c r="T526">
        <v>660</v>
      </c>
      <c r="U526" t="s">
        <v>1550</v>
      </c>
      <c r="V526" t="s">
        <v>1551</v>
      </c>
    </row>
    <row r="527" spans="12:22">
      <c r="L527" t="s">
        <v>1609</v>
      </c>
      <c r="M527" t="s">
        <v>1605</v>
      </c>
      <c r="N527" t="s">
        <v>1606</v>
      </c>
      <c r="O527" t="s">
        <v>564</v>
      </c>
      <c r="P527" t="s">
        <v>565</v>
      </c>
      <c r="Q527" t="s">
        <v>950</v>
      </c>
      <c r="R527" t="s">
        <v>951</v>
      </c>
      <c r="S527" t="s">
        <v>1963</v>
      </c>
      <c r="T527">
        <v>720</v>
      </c>
      <c r="U527" t="s">
        <v>1607</v>
      </c>
      <c r="V527" t="s">
        <v>1608</v>
      </c>
    </row>
    <row r="528" spans="12:22">
      <c r="L528" t="s">
        <v>1609</v>
      </c>
      <c r="M528" t="s">
        <v>1605</v>
      </c>
      <c r="N528" t="s">
        <v>1609</v>
      </c>
      <c r="O528" t="s">
        <v>564</v>
      </c>
      <c r="P528" t="s">
        <v>565</v>
      </c>
      <c r="Q528" t="s">
        <v>950</v>
      </c>
      <c r="R528" t="s">
        <v>951</v>
      </c>
      <c r="S528" t="s">
        <v>1963</v>
      </c>
      <c r="T528">
        <v>720</v>
      </c>
      <c r="U528" t="s">
        <v>1607</v>
      </c>
      <c r="V528" t="s">
        <v>1608</v>
      </c>
    </row>
    <row r="529" spans="12:22">
      <c r="L529" t="s">
        <v>897</v>
      </c>
      <c r="M529" t="s">
        <v>690</v>
      </c>
      <c r="N529" t="s">
        <v>897</v>
      </c>
      <c r="O529" t="s">
        <v>572</v>
      </c>
      <c r="P529" t="s">
        <v>573</v>
      </c>
      <c r="Q529" t="s">
        <v>898</v>
      </c>
      <c r="R529" t="s">
        <v>899</v>
      </c>
      <c r="S529" t="s">
        <v>1830</v>
      </c>
      <c r="T529">
        <v>120</v>
      </c>
      <c r="U529" t="s">
        <v>693</v>
      </c>
      <c r="V529" t="s">
        <v>900</v>
      </c>
    </row>
    <row r="530" spans="12:22">
      <c r="L530" t="s">
        <v>1027</v>
      </c>
      <c r="M530" t="s">
        <v>1010</v>
      </c>
      <c r="N530" t="s">
        <v>1027</v>
      </c>
      <c r="O530" t="s">
        <v>56</v>
      </c>
      <c r="P530" t="s">
        <v>922</v>
      </c>
      <c r="Q530" t="s">
        <v>1028</v>
      </c>
      <c r="R530" t="s">
        <v>223</v>
      </c>
      <c r="S530" t="s">
        <v>1859</v>
      </c>
      <c r="T530">
        <v>180</v>
      </c>
      <c r="U530" t="s">
        <v>336</v>
      </c>
      <c r="V530" t="s">
        <v>1029</v>
      </c>
    </row>
    <row r="531" spans="12:22">
      <c r="L531" t="s">
        <v>1027</v>
      </c>
      <c r="M531" t="s">
        <v>1010</v>
      </c>
      <c r="N531" t="s">
        <v>1030</v>
      </c>
      <c r="O531" t="s">
        <v>56</v>
      </c>
      <c r="P531" t="s">
        <v>922</v>
      </c>
      <c r="Q531" t="s">
        <v>1028</v>
      </c>
      <c r="R531" t="s">
        <v>223</v>
      </c>
      <c r="S531" t="s">
        <v>1859</v>
      </c>
      <c r="T531">
        <v>180</v>
      </c>
      <c r="U531" t="s">
        <v>336</v>
      </c>
      <c r="V531" t="s">
        <v>1029</v>
      </c>
    </row>
    <row r="532" spans="12:22">
      <c r="L532" t="s">
        <v>1027</v>
      </c>
      <c r="M532" t="s">
        <v>1010</v>
      </c>
      <c r="N532" t="s">
        <v>1031</v>
      </c>
      <c r="O532" t="s">
        <v>56</v>
      </c>
      <c r="P532" t="s">
        <v>922</v>
      </c>
      <c r="Q532" t="s">
        <v>1028</v>
      </c>
      <c r="R532" t="s">
        <v>223</v>
      </c>
      <c r="S532" t="s">
        <v>1859</v>
      </c>
      <c r="T532">
        <v>180</v>
      </c>
      <c r="U532" t="s">
        <v>336</v>
      </c>
      <c r="V532" t="s">
        <v>1029</v>
      </c>
    </row>
    <row r="533" spans="12:22">
      <c r="L533" t="s">
        <v>1027</v>
      </c>
      <c r="M533" t="s">
        <v>1010</v>
      </c>
      <c r="N533" t="s">
        <v>1011</v>
      </c>
      <c r="O533" t="s">
        <v>56</v>
      </c>
      <c r="P533" t="s">
        <v>922</v>
      </c>
      <c r="Q533" t="s">
        <v>1028</v>
      </c>
      <c r="R533" t="s">
        <v>223</v>
      </c>
      <c r="S533" t="s">
        <v>1859</v>
      </c>
      <c r="T533">
        <v>180</v>
      </c>
      <c r="U533" t="s">
        <v>336</v>
      </c>
      <c r="V533" t="s">
        <v>1029</v>
      </c>
    </row>
    <row r="534" spans="12:22">
      <c r="L534" t="s">
        <v>1555</v>
      </c>
      <c r="M534" t="s">
        <v>1554</v>
      </c>
      <c r="N534" t="s">
        <v>1555</v>
      </c>
      <c r="O534" t="s">
        <v>42</v>
      </c>
      <c r="P534" t="s">
        <v>43</v>
      </c>
      <c r="Q534" t="s">
        <v>1556</v>
      </c>
      <c r="R534" t="s">
        <v>1557</v>
      </c>
      <c r="S534" t="s">
        <v>1955</v>
      </c>
      <c r="T534">
        <v>660</v>
      </c>
      <c r="U534" t="s">
        <v>1558</v>
      </c>
      <c r="V534" t="s">
        <v>1559</v>
      </c>
    </row>
    <row r="535" spans="12:22">
      <c r="L535" t="s">
        <v>1555</v>
      </c>
      <c r="M535" t="s">
        <v>1554</v>
      </c>
      <c r="N535" t="s">
        <v>1535</v>
      </c>
      <c r="O535" t="s">
        <v>42</v>
      </c>
      <c r="P535" t="s">
        <v>43</v>
      </c>
      <c r="Q535" t="s">
        <v>1556</v>
      </c>
      <c r="R535" t="s">
        <v>1557</v>
      </c>
      <c r="S535" t="s">
        <v>1955</v>
      </c>
      <c r="T535">
        <v>660</v>
      </c>
      <c r="U535" t="s">
        <v>1558</v>
      </c>
      <c r="V535" t="s">
        <v>1559</v>
      </c>
    </row>
    <row r="536" spans="12:22">
      <c r="L536" t="s">
        <v>1555</v>
      </c>
      <c r="M536" t="s">
        <v>1554</v>
      </c>
      <c r="N536" t="s">
        <v>1560</v>
      </c>
      <c r="O536" t="s">
        <v>42</v>
      </c>
      <c r="P536" t="s">
        <v>43</v>
      </c>
      <c r="Q536" t="s">
        <v>1556</v>
      </c>
      <c r="R536" t="s">
        <v>1557</v>
      </c>
      <c r="S536" t="s">
        <v>1955</v>
      </c>
      <c r="T536">
        <v>660</v>
      </c>
      <c r="U536" t="s">
        <v>1558</v>
      </c>
      <c r="V536" t="s">
        <v>1559</v>
      </c>
    </row>
    <row r="537" spans="12:22">
      <c r="L537" t="s">
        <v>1138</v>
      </c>
      <c r="M537" t="s">
        <v>1161</v>
      </c>
      <c r="N537" t="s">
        <v>1138</v>
      </c>
      <c r="O537" t="s">
        <v>572</v>
      </c>
      <c r="P537" t="s">
        <v>573</v>
      </c>
      <c r="Q537" t="s">
        <v>1162</v>
      </c>
      <c r="R537" t="s">
        <v>1163</v>
      </c>
      <c r="S537" t="s">
        <v>1887</v>
      </c>
      <c r="T537">
        <v>240</v>
      </c>
      <c r="U537" t="s">
        <v>1164</v>
      </c>
      <c r="V537" t="s">
        <v>1165</v>
      </c>
    </row>
    <row r="538" spans="12:22">
      <c r="L538" t="s">
        <v>893</v>
      </c>
      <c r="M538" t="s">
        <v>690</v>
      </c>
      <c r="N538" t="s">
        <v>893</v>
      </c>
      <c r="O538" t="s">
        <v>572</v>
      </c>
      <c r="P538" t="s">
        <v>573</v>
      </c>
      <c r="Q538" t="s">
        <v>894</v>
      </c>
      <c r="R538" t="s">
        <v>895</v>
      </c>
      <c r="S538" t="s">
        <v>1829</v>
      </c>
      <c r="T538">
        <v>120</v>
      </c>
      <c r="U538" t="s">
        <v>693</v>
      </c>
      <c r="V538" t="s">
        <v>896</v>
      </c>
    </row>
    <row r="539" spans="12:22">
      <c r="L539" t="s">
        <v>726</v>
      </c>
      <c r="M539" t="s">
        <v>695</v>
      </c>
      <c r="N539" t="s">
        <v>726</v>
      </c>
      <c r="O539" t="s">
        <v>564</v>
      </c>
      <c r="P539" t="s">
        <v>565</v>
      </c>
      <c r="Q539" t="s">
        <v>798</v>
      </c>
      <c r="R539" t="s">
        <v>799</v>
      </c>
      <c r="S539" t="s">
        <v>1805</v>
      </c>
      <c r="T539">
        <v>60</v>
      </c>
      <c r="U539" t="s">
        <v>699</v>
      </c>
      <c r="V539" t="s">
        <v>800</v>
      </c>
    </row>
    <row r="540" spans="12:22">
      <c r="L540" t="s">
        <v>1402</v>
      </c>
      <c r="M540" t="s">
        <v>1401</v>
      </c>
      <c r="N540" t="s">
        <v>1402</v>
      </c>
      <c r="O540" t="s">
        <v>56</v>
      </c>
      <c r="P540" t="s">
        <v>922</v>
      </c>
      <c r="Q540" t="s">
        <v>1403</v>
      </c>
      <c r="R540" t="s">
        <v>1404</v>
      </c>
      <c r="S540" t="s">
        <v>1928</v>
      </c>
      <c r="T540">
        <v>480</v>
      </c>
      <c r="U540" t="s">
        <v>1405</v>
      </c>
      <c r="V540" t="s">
        <v>1406</v>
      </c>
    </row>
    <row r="541" spans="12:22">
      <c r="L541" t="s">
        <v>1402</v>
      </c>
      <c r="M541" t="s">
        <v>1401</v>
      </c>
      <c r="N541" t="s">
        <v>1403</v>
      </c>
      <c r="O541" t="s">
        <v>56</v>
      </c>
      <c r="P541" t="s">
        <v>922</v>
      </c>
      <c r="Q541" t="s">
        <v>1403</v>
      </c>
      <c r="R541" t="s">
        <v>1404</v>
      </c>
      <c r="S541" t="s">
        <v>1928</v>
      </c>
      <c r="T541">
        <v>480</v>
      </c>
      <c r="U541" t="s">
        <v>1405</v>
      </c>
      <c r="V541" t="s">
        <v>1406</v>
      </c>
    </row>
    <row r="542" spans="12:22">
      <c r="L542" t="s">
        <v>1402</v>
      </c>
      <c r="M542" t="s">
        <v>1401</v>
      </c>
      <c r="N542" t="s">
        <v>1389</v>
      </c>
      <c r="O542" t="s">
        <v>56</v>
      </c>
      <c r="P542" t="s">
        <v>922</v>
      </c>
      <c r="Q542" t="s">
        <v>1403</v>
      </c>
      <c r="R542" t="s">
        <v>1404</v>
      </c>
      <c r="S542" t="s">
        <v>1928</v>
      </c>
      <c r="T542">
        <v>480</v>
      </c>
      <c r="U542" t="s">
        <v>1405</v>
      </c>
      <c r="V542" t="s">
        <v>1406</v>
      </c>
    </row>
    <row r="543" spans="12:22">
      <c r="L543" t="s">
        <v>595</v>
      </c>
      <c r="M543" t="s">
        <v>578</v>
      </c>
      <c r="N543" t="s">
        <v>595</v>
      </c>
      <c r="O543" t="s">
        <v>572</v>
      </c>
      <c r="P543" t="s">
        <v>573</v>
      </c>
      <c r="Q543" t="s">
        <v>624</v>
      </c>
      <c r="R543" t="s">
        <v>625</v>
      </c>
      <c r="S543" t="s">
        <v>1764</v>
      </c>
      <c r="T543">
        <v>0</v>
      </c>
      <c r="U543" t="s">
        <v>582</v>
      </c>
      <c r="V543" t="s">
        <v>626</v>
      </c>
    </row>
    <row r="544" spans="12:22">
      <c r="L544" t="s">
        <v>713</v>
      </c>
      <c r="M544" t="s">
        <v>695</v>
      </c>
      <c r="N544" t="s">
        <v>713</v>
      </c>
      <c r="O544" t="s">
        <v>564</v>
      </c>
      <c r="P544" t="s">
        <v>565</v>
      </c>
      <c r="Q544" t="s">
        <v>749</v>
      </c>
      <c r="R544" t="s">
        <v>750</v>
      </c>
      <c r="S544" t="s">
        <v>1792</v>
      </c>
      <c r="T544">
        <v>60</v>
      </c>
      <c r="U544" t="s">
        <v>699</v>
      </c>
      <c r="V544" t="s">
        <v>751</v>
      </c>
    </row>
    <row r="545" spans="12:22">
      <c r="L545" t="s">
        <v>723</v>
      </c>
      <c r="M545" t="s">
        <v>695</v>
      </c>
      <c r="N545" t="s">
        <v>723</v>
      </c>
      <c r="O545" t="s">
        <v>564</v>
      </c>
      <c r="P545" t="s">
        <v>565</v>
      </c>
      <c r="Q545" t="s">
        <v>752</v>
      </c>
      <c r="R545" t="s">
        <v>753</v>
      </c>
      <c r="S545" t="s">
        <v>1793</v>
      </c>
      <c r="T545">
        <v>60</v>
      </c>
      <c r="U545" t="s">
        <v>699</v>
      </c>
      <c r="V545" t="s">
        <v>754</v>
      </c>
    </row>
    <row r="546" spans="12:22">
      <c r="L546" t="s">
        <v>728</v>
      </c>
      <c r="M546" t="s">
        <v>695</v>
      </c>
      <c r="N546" t="s">
        <v>728</v>
      </c>
      <c r="O546" t="s">
        <v>564</v>
      </c>
      <c r="P546" t="s">
        <v>565</v>
      </c>
      <c r="Q546" t="s">
        <v>729</v>
      </c>
      <c r="R546" t="s">
        <v>730</v>
      </c>
      <c r="S546" t="s">
        <v>1788</v>
      </c>
      <c r="T546">
        <v>60</v>
      </c>
      <c r="U546" t="s">
        <v>699</v>
      </c>
      <c r="V546" t="s">
        <v>731</v>
      </c>
    </row>
    <row r="547" spans="12:22">
      <c r="L547" t="s">
        <v>590</v>
      </c>
      <c r="M547" t="s">
        <v>578</v>
      </c>
      <c r="N547" t="s">
        <v>590</v>
      </c>
      <c r="O547" t="s">
        <v>572</v>
      </c>
      <c r="P547" t="s">
        <v>573</v>
      </c>
      <c r="Q547" t="s">
        <v>621</v>
      </c>
      <c r="R547" t="s">
        <v>622</v>
      </c>
      <c r="S547" t="s">
        <v>1763</v>
      </c>
      <c r="T547">
        <v>0</v>
      </c>
      <c r="U547" t="s">
        <v>582</v>
      </c>
      <c r="V547" t="s">
        <v>623</v>
      </c>
    </row>
    <row r="548" spans="12:22">
      <c r="L548" t="s">
        <v>783</v>
      </c>
      <c r="M548" t="s">
        <v>695</v>
      </c>
      <c r="N548" t="s">
        <v>783</v>
      </c>
      <c r="O548" t="s">
        <v>564</v>
      </c>
      <c r="P548" t="s">
        <v>565</v>
      </c>
      <c r="Q548" t="s">
        <v>785</v>
      </c>
      <c r="R548" t="s">
        <v>786</v>
      </c>
      <c r="S548" t="s">
        <v>785</v>
      </c>
      <c r="T548">
        <v>60</v>
      </c>
      <c r="U548" t="s">
        <v>699</v>
      </c>
      <c r="V548" t="s">
        <v>787</v>
      </c>
    </row>
    <row r="549" spans="12:22">
      <c r="L549" t="s">
        <v>589</v>
      </c>
      <c r="M549" t="s">
        <v>578</v>
      </c>
      <c r="N549" t="s">
        <v>589</v>
      </c>
      <c r="O549" t="s">
        <v>572</v>
      </c>
      <c r="P549" t="s">
        <v>573</v>
      </c>
      <c r="Q549" t="s">
        <v>607</v>
      </c>
      <c r="R549" t="s">
        <v>608</v>
      </c>
      <c r="S549" t="s">
        <v>1759</v>
      </c>
      <c r="T549">
        <v>0</v>
      </c>
      <c r="U549" t="s">
        <v>582</v>
      </c>
      <c r="V549" t="s">
        <v>609</v>
      </c>
    </row>
    <row r="550" spans="12:22">
      <c r="L550" t="s">
        <v>1073</v>
      </c>
      <c r="M550" t="s">
        <v>1044</v>
      </c>
      <c r="N550" t="s">
        <v>1073</v>
      </c>
      <c r="O550" t="s">
        <v>572</v>
      </c>
      <c r="P550" t="s">
        <v>573</v>
      </c>
      <c r="Q550" t="s">
        <v>1074</v>
      </c>
      <c r="R550" t="s">
        <v>1075</v>
      </c>
      <c r="S550" t="s">
        <v>1870</v>
      </c>
      <c r="T550">
        <v>180</v>
      </c>
      <c r="U550" t="s">
        <v>1048</v>
      </c>
      <c r="V550" t="s">
        <v>1076</v>
      </c>
    </row>
    <row r="551" spans="12:22">
      <c r="L551" t="s">
        <v>535</v>
      </c>
      <c r="M551" t="s">
        <v>534</v>
      </c>
      <c r="N551" t="s">
        <v>535</v>
      </c>
      <c r="O551" t="s">
        <v>223</v>
      </c>
      <c r="P551" t="s">
        <v>224</v>
      </c>
      <c r="Q551" t="s">
        <v>536</v>
      </c>
      <c r="R551" t="s">
        <v>537</v>
      </c>
      <c r="S551" t="s">
        <v>1748</v>
      </c>
      <c r="T551">
        <v>-180</v>
      </c>
      <c r="U551" t="s">
        <v>538</v>
      </c>
      <c r="V551" t="s">
        <v>539</v>
      </c>
    </row>
    <row r="552" spans="12:22">
      <c r="L552" t="s">
        <v>889</v>
      </c>
      <c r="M552" t="s">
        <v>690</v>
      </c>
      <c r="N552" t="s">
        <v>889</v>
      </c>
      <c r="O552" t="s">
        <v>572</v>
      </c>
      <c r="P552" t="s">
        <v>573</v>
      </c>
      <c r="Q552" t="s">
        <v>890</v>
      </c>
      <c r="R552" t="s">
        <v>891</v>
      </c>
      <c r="S552" t="s">
        <v>1828</v>
      </c>
      <c r="T552">
        <v>120</v>
      </c>
      <c r="U552" t="s">
        <v>693</v>
      </c>
      <c r="V552" t="s">
        <v>892</v>
      </c>
    </row>
    <row r="553" spans="12:22">
      <c r="L553" t="s">
        <v>662</v>
      </c>
      <c r="M553" t="s">
        <v>578</v>
      </c>
      <c r="N553" t="s">
        <v>662</v>
      </c>
      <c r="O553" t="s">
        <v>572</v>
      </c>
      <c r="P553" t="s">
        <v>573</v>
      </c>
      <c r="Q553" t="s">
        <v>663</v>
      </c>
      <c r="R553" t="s">
        <v>664</v>
      </c>
      <c r="S553" t="s">
        <v>1775</v>
      </c>
      <c r="T553">
        <v>0</v>
      </c>
      <c r="U553" t="s">
        <v>582</v>
      </c>
      <c r="V553" t="s">
        <v>665</v>
      </c>
    </row>
    <row r="554" spans="12:22">
      <c r="L554" t="s">
        <v>203</v>
      </c>
      <c r="M554" t="s">
        <v>163</v>
      </c>
      <c r="N554" t="s">
        <v>203</v>
      </c>
      <c r="O554" t="s">
        <v>68</v>
      </c>
      <c r="P554" t="s">
        <v>69</v>
      </c>
      <c r="Q554" t="s">
        <v>204</v>
      </c>
      <c r="R554" t="s">
        <v>205</v>
      </c>
      <c r="S554" t="s">
        <v>1687</v>
      </c>
      <c r="T554">
        <v>-360</v>
      </c>
      <c r="U554" t="s">
        <v>167</v>
      </c>
      <c r="V554" t="s">
        <v>206</v>
      </c>
    </row>
    <row r="555" spans="12:22">
      <c r="L555" t="s">
        <v>394</v>
      </c>
      <c r="M555" t="s">
        <v>332</v>
      </c>
      <c r="N555" t="s">
        <v>394</v>
      </c>
      <c r="O555" t="s">
        <v>68</v>
      </c>
      <c r="P555" t="s">
        <v>69</v>
      </c>
      <c r="Q555" t="s">
        <v>395</v>
      </c>
      <c r="R555" t="s">
        <v>396</v>
      </c>
      <c r="S555" t="s">
        <v>1724</v>
      </c>
      <c r="T555">
        <v>-240</v>
      </c>
      <c r="U555" t="s">
        <v>336</v>
      </c>
      <c r="V555" t="s">
        <v>397</v>
      </c>
    </row>
    <row r="556" spans="12:22">
      <c r="L556" t="s">
        <v>1040</v>
      </c>
      <c r="M556" t="s">
        <v>1040</v>
      </c>
      <c r="N556" t="s">
        <v>1040</v>
      </c>
      <c r="O556" t="s">
        <v>56</v>
      </c>
      <c r="P556" t="s">
        <v>922</v>
      </c>
      <c r="Q556" t="s">
        <v>1041</v>
      </c>
      <c r="R556" t="s">
        <v>1042</v>
      </c>
      <c r="S556" t="s">
        <v>1862</v>
      </c>
      <c r="T556">
        <v>180</v>
      </c>
      <c r="U556" t="s">
        <v>1038</v>
      </c>
      <c r="V556" t="s">
        <v>1043</v>
      </c>
    </row>
    <row r="557" spans="12:22">
      <c r="L557" t="s">
        <v>1003</v>
      </c>
      <c r="M557" t="s">
        <v>996</v>
      </c>
      <c r="N557" t="s">
        <v>1003</v>
      </c>
      <c r="O557" t="s">
        <v>572</v>
      </c>
      <c r="P557" t="s">
        <v>573</v>
      </c>
      <c r="Q557" t="s">
        <v>1004</v>
      </c>
      <c r="R557" t="s">
        <v>1005</v>
      </c>
      <c r="S557" t="s">
        <v>1853</v>
      </c>
      <c r="T557">
        <v>120</v>
      </c>
      <c r="U557" t="s">
        <v>1000</v>
      </c>
      <c r="V557" t="s">
        <v>1006</v>
      </c>
    </row>
    <row r="558" spans="12:22">
      <c r="L558" t="s">
        <v>262</v>
      </c>
      <c r="M558" t="s">
        <v>256</v>
      </c>
      <c r="N558" t="s">
        <v>262</v>
      </c>
      <c r="O558" t="s">
        <v>68</v>
      </c>
      <c r="P558" t="s">
        <v>69</v>
      </c>
      <c r="Q558" t="s">
        <v>263</v>
      </c>
      <c r="R558" t="s">
        <v>264</v>
      </c>
      <c r="S558" t="s">
        <v>1698</v>
      </c>
      <c r="T558">
        <v>-300</v>
      </c>
      <c r="U558" t="s">
        <v>258</v>
      </c>
      <c r="V558" t="s">
        <v>265</v>
      </c>
    </row>
    <row r="559" spans="12:22">
      <c r="L559" t="s">
        <v>870</v>
      </c>
      <c r="M559" t="s">
        <v>831</v>
      </c>
      <c r="N559" t="s">
        <v>870</v>
      </c>
      <c r="O559" t="s">
        <v>572</v>
      </c>
      <c r="P559" t="s">
        <v>573</v>
      </c>
      <c r="Q559" t="s">
        <v>871</v>
      </c>
      <c r="R559" t="s">
        <v>872</v>
      </c>
      <c r="S559" t="s">
        <v>1823</v>
      </c>
      <c r="T559">
        <v>60</v>
      </c>
      <c r="U559" t="s">
        <v>835</v>
      </c>
      <c r="V559" t="s">
        <v>873</v>
      </c>
    </row>
    <row r="560" spans="12:22">
      <c r="L560" t="s">
        <v>1172</v>
      </c>
      <c r="M560" t="s">
        <v>1171</v>
      </c>
      <c r="N560" t="s">
        <v>1172</v>
      </c>
      <c r="O560" t="s">
        <v>504</v>
      </c>
      <c r="P560" t="s">
        <v>505</v>
      </c>
      <c r="Q560" t="s">
        <v>1173</v>
      </c>
      <c r="R560" t="s">
        <v>1174</v>
      </c>
      <c r="S560" t="s">
        <v>1889</v>
      </c>
      <c r="T560">
        <v>300</v>
      </c>
      <c r="U560" t="s">
        <v>1175</v>
      </c>
      <c r="V560" t="s">
        <v>1176</v>
      </c>
    </row>
    <row r="561" spans="12:22">
      <c r="L561" t="s">
        <v>591</v>
      </c>
      <c r="M561" t="s">
        <v>578</v>
      </c>
      <c r="N561" t="s">
        <v>591</v>
      </c>
      <c r="O561" t="s">
        <v>572</v>
      </c>
      <c r="P561" t="s">
        <v>573</v>
      </c>
      <c r="Q561" t="s">
        <v>630</v>
      </c>
      <c r="R561" t="s">
        <v>631</v>
      </c>
      <c r="S561" t="s">
        <v>1766</v>
      </c>
      <c r="T561">
        <v>0</v>
      </c>
      <c r="U561" t="s">
        <v>582</v>
      </c>
      <c r="V561" t="s">
        <v>632</v>
      </c>
    </row>
    <row r="562" spans="12:22">
      <c r="L562" t="s">
        <v>1313</v>
      </c>
      <c r="M562" t="s">
        <v>1312</v>
      </c>
      <c r="N562" t="s">
        <v>1313</v>
      </c>
      <c r="O562" t="s">
        <v>56</v>
      </c>
      <c r="P562" t="s">
        <v>922</v>
      </c>
      <c r="Q562" t="s">
        <v>1314</v>
      </c>
      <c r="R562" t="s">
        <v>1315</v>
      </c>
      <c r="S562" t="s">
        <v>1912</v>
      </c>
      <c r="T562">
        <v>420</v>
      </c>
      <c r="U562" t="s">
        <v>1316</v>
      </c>
      <c r="V562" t="s">
        <v>1317</v>
      </c>
    </row>
    <row r="563" spans="12:22">
      <c r="L563" t="s">
        <v>1313</v>
      </c>
      <c r="M563" t="s">
        <v>1312</v>
      </c>
      <c r="N563" t="s">
        <v>1318</v>
      </c>
      <c r="O563" t="s">
        <v>56</v>
      </c>
      <c r="P563" t="s">
        <v>922</v>
      </c>
      <c r="Q563" t="s">
        <v>1314</v>
      </c>
      <c r="R563" t="s">
        <v>1315</v>
      </c>
      <c r="S563" t="s">
        <v>1912</v>
      </c>
      <c r="T563">
        <v>420</v>
      </c>
      <c r="U563" t="s">
        <v>1316</v>
      </c>
      <c r="V563" t="s">
        <v>1317</v>
      </c>
    </row>
    <row r="564" spans="12:22">
      <c r="L564" t="s">
        <v>1313</v>
      </c>
      <c r="M564" t="s">
        <v>1312</v>
      </c>
      <c r="N564" t="s">
        <v>1319</v>
      </c>
      <c r="O564" t="s">
        <v>56</v>
      </c>
      <c r="P564" t="s">
        <v>922</v>
      </c>
      <c r="Q564" t="s">
        <v>1314</v>
      </c>
      <c r="R564" t="s">
        <v>1315</v>
      </c>
      <c r="S564" t="s">
        <v>1912</v>
      </c>
      <c r="T564">
        <v>420</v>
      </c>
      <c r="U564" t="s">
        <v>1316</v>
      </c>
      <c r="V564" t="s">
        <v>1317</v>
      </c>
    </row>
    <row r="565" spans="12:22">
      <c r="L565" t="s">
        <v>1313</v>
      </c>
      <c r="M565" t="s">
        <v>1312</v>
      </c>
      <c r="N565" t="s">
        <v>1297</v>
      </c>
      <c r="O565" t="s">
        <v>56</v>
      </c>
      <c r="P565" t="s">
        <v>922</v>
      </c>
      <c r="Q565" t="s">
        <v>1314</v>
      </c>
      <c r="R565" t="s">
        <v>1315</v>
      </c>
      <c r="S565" t="s">
        <v>1912</v>
      </c>
      <c r="T565">
        <v>420</v>
      </c>
      <c r="U565" t="s">
        <v>1316</v>
      </c>
      <c r="V565" t="s">
        <v>1317</v>
      </c>
    </row>
    <row r="566" spans="12:22">
      <c r="L566" t="s">
        <v>1195</v>
      </c>
      <c r="M566" t="s">
        <v>1194</v>
      </c>
      <c r="N566" t="s">
        <v>1195</v>
      </c>
      <c r="O566" t="s">
        <v>56</v>
      </c>
      <c r="P566" t="s">
        <v>922</v>
      </c>
      <c r="Q566" t="s">
        <v>1196</v>
      </c>
      <c r="R566" t="s">
        <v>1197</v>
      </c>
      <c r="S566" t="s">
        <v>1893</v>
      </c>
      <c r="T566">
        <v>300</v>
      </c>
      <c r="U566" t="s">
        <v>1198</v>
      </c>
      <c r="V566" t="s">
        <v>1199</v>
      </c>
    </row>
    <row r="567" spans="12:22">
      <c r="L567" t="s">
        <v>1640</v>
      </c>
      <c r="M567" t="s">
        <v>1639</v>
      </c>
      <c r="N567" t="s">
        <v>1640</v>
      </c>
      <c r="O567" t="s">
        <v>42</v>
      </c>
      <c r="P567" t="s">
        <v>43</v>
      </c>
      <c r="Q567" t="s">
        <v>1641</v>
      </c>
      <c r="R567" t="s">
        <v>1642</v>
      </c>
      <c r="S567" t="s">
        <v>1970</v>
      </c>
      <c r="T567">
        <v>780</v>
      </c>
      <c r="U567" t="s">
        <v>1643</v>
      </c>
      <c r="V567" t="s">
        <v>1644</v>
      </c>
    </row>
    <row r="568" spans="12:22">
      <c r="L568" t="s">
        <v>1425</v>
      </c>
      <c r="M568" t="s">
        <v>1424</v>
      </c>
      <c r="N568" t="s">
        <v>1425</v>
      </c>
      <c r="O568" t="s">
        <v>42</v>
      </c>
      <c r="P568" t="s">
        <v>43</v>
      </c>
      <c r="Q568" t="s">
        <v>1426</v>
      </c>
      <c r="R568" t="s">
        <v>1427</v>
      </c>
      <c r="S568" t="s">
        <v>1932</v>
      </c>
      <c r="T568">
        <v>540</v>
      </c>
      <c r="U568" t="s">
        <v>1428</v>
      </c>
      <c r="V568" t="s">
        <v>1429</v>
      </c>
    </row>
    <row r="569" spans="12:22">
      <c r="L569" t="s">
        <v>1201</v>
      </c>
      <c r="M569" t="s">
        <v>1200</v>
      </c>
      <c r="N569" t="s">
        <v>1201</v>
      </c>
      <c r="O569" t="s">
        <v>56</v>
      </c>
      <c r="P569" t="s">
        <v>922</v>
      </c>
      <c r="Q569" t="s">
        <v>1202</v>
      </c>
      <c r="R569" t="s">
        <v>1203</v>
      </c>
      <c r="S569" t="s">
        <v>1894</v>
      </c>
      <c r="T569">
        <v>300</v>
      </c>
      <c r="U569" t="s">
        <v>1204</v>
      </c>
      <c r="V569" t="s">
        <v>1205</v>
      </c>
    </row>
    <row r="570" spans="12:22">
      <c r="L570" t="s">
        <v>1201</v>
      </c>
      <c r="M570" t="s">
        <v>1200</v>
      </c>
      <c r="N570" t="s">
        <v>1206</v>
      </c>
      <c r="O570" t="s">
        <v>56</v>
      </c>
      <c r="P570" t="s">
        <v>922</v>
      </c>
      <c r="Q570" t="s">
        <v>1202</v>
      </c>
      <c r="R570" t="s">
        <v>1203</v>
      </c>
      <c r="S570" t="s">
        <v>1894</v>
      </c>
      <c r="T570">
        <v>300</v>
      </c>
      <c r="U570" t="s">
        <v>1204</v>
      </c>
      <c r="V570" t="s">
        <v>1205</v>
      </c>
    </row>
    <row r="571" spans="12:22">
      <c r="L571" t="s">
        <v>805</v>
      </c>
      <c r="M571" t="s">
        <v>695</v>
      </c>
      <c r="N571" t="s">
        <v>805</v>
      </c>
      <c r="O571" t="s">
        <v>572</v>
      </c>
      <c r="P571" t="s">
        <v>573</v>
      </c>
      <c r="Q571" t="s">
        <v>806</v>
      </c>
      <c r="R571" t="s">
        <v>807</v>
      </c>
      <c r="S571" t="s">
        <v>1807</v>
      </c>
      <c r="T571">
        <v>60</v>
      </c>
      <c r="U571" t="s">
        <v>699</v>
      </c>
      <c r="V571" t="s">
        <v>808</v>
      </c>
    </row>
    <row r="572" spans="12:22">
      <c r="L572" t="s">
        <v>1646</v>
      </c>
      <c r="M572" t="s">
        <v>1645</v>
      </c>
      <c r="N572" t="s">
        <v>1646</v>
      </c>
      <c r="O572" t="s">
        <v>42</v>
      </c>
      <c r="P572" t="s">
        <v>43</v>
      </c>
      <c r="Q572" t="s">
        <v>1647</v>
      </c>
      <c r="R572" t="s">
        <v>1648</v>
      </c>
      <c r="S572" t="s">
        <v>1971</v>
      </c>
      <c r="T572">
        <v>780</v>
      </c>
      <c r="U572" t="s">
        <v>1649</v>
      </c>
      <c r="V572" t="s">
        <v>1650</v>
      </c>
    </row>
    <row r="573" spans="12:22">
      <c r="L573" t="s">
        <v>1103</v>
      </c>
      <c r="M573" t="s">
        <v>1102</v>
      </c>
      <c r="N573" t="s">
        <v>1103</v>
      </c>
      <c r="O573" t="s">
        <v>56</v>
      </c>
      <c r="P573" t="s">
        <v>922</v>
      </c>
      <c r="Q573" t="s">
        <v>1104</v>
      </c>
      <c r="R573" t="s">
        <v>1105</v>
      </c>
      <c r="S573" t="s">
        <v>1877</v>
      </c>
      <c r="T573">
        <v>180</v>
      </c>
      <c r="U573" t="s">
        <v>1106</v>
      </c>
      <c r="V573" t="s">
        <v>1107</v>
      </c>
    </row>
    <row r="574" spans="12:22">
      <c r="L574" t="s">
        <v>1103</v>
      </c>
      <c r="M574" t="s">
        <v>1102</v>
      </c>
      <c r="N574" t="s">
        <v>1104</v>
      </c>
      <c r="O574" t="s">
        <v>56</v>
      </c>
      <c r="P574" t="s">
        <v>922</v>
      </c>
      <c r="Q574" t="s">
        <v>1104</v>
      </c>
      <c r="R574" t="s">
        <v>1105</v>
      </c>
      <c r="S574" t="s">
        <v>1877</v>
      </c>
      <c r="T574">
        <v>180</v>
      </c>
      <c r="U574" t="s">
        <v>1106</v>
      </c>
      <c r="V574" t="s">
        <v>1107</v>
      </c>
    </row>
    <row r="575" spans="12:22">
      <c r="L575" t="s">
        <v>1103</v>
      </c>
      <c r="M575" t="s">
        <v>1102</v>
      </c>
      <c r="N575" t="s">
        <v>1108</v>
      </c>
      <c r="O575" t="s">
        <v>56</v>
      </c>
      <c r="P575" t="s">
        <v>922</v>
      </c>
      <c r="Q575" t="s">
        <v>1104</v>
      </c>
      <c r="R575" t="s">
        <v>1105</v>
      </c>
      <c r="S575" t="s">
        <v>1877</v>
      </c>
      <c r="T575">
        <v>180</v>
      </c>
      <c r="U575" t="s">
        <v>1106</v>
      </c>
      <c r="V575" t="s">
        <v>1107</v>
      </c>
    </row>
    <row r="576" spans="12:22">
      <c r="L576" t="s">
        <v>348</v>
      </c>
      <c r="M576" t="s">
        <v>332</v>
      </c>
      <c r="N576" t="s">
        <v>348</v>
      </c>
      <c r="O576" t="s">
        <v>68</v>
      </c>
      <c r="P576" t="s">
        <v>69</v>
      </c>
      <c r="Q576" t="s">
        <v>349</v>
      </c>
      <c r="R576" t="s">
        <v>350</v>
      </c>
      <c r="S576" t="s">
        <v>1713</v>
      </c>
      <c r="T576">
        <v>-240</v>
      </c>
      <c r="U576" t="s">
        <v>336</v>
      </c>
      <c r="V576" t="s">
        <v>351</v>
      </c>
    </row>
    <row r="577" spans="12:22">
      <c r="L577" t="s">
        <v>1579</v>
      </c>
      <c r="M577" t="s">
        <v>1610</v>
      </c>
      <c r="N577" t="s">
        <v>1579</v>
      </c>
      <c r="O577" t="s">
        <v>42</v>
      </c>
      <c r="P577" t="s">
        <v>43</v>
      </c>
      <c r="Q577" t="s">
        <v>1611</v>
      </c>
      <c r="R577" t="s">
        <v>1612</v>
      </c>
      <c r="S577" t="s">
        <v>1964</v>
      </c>
      <c r="T577">
        <v>720</v>
      </c>
      <c r="U577" t="s">
        <v>1613</v>
      </c>
      <c r="V577" t="s">
        <v>1614</v>
      </c>
    </row>
    <row r="578" spans="12:22">
      <c r="L578" t="s">
        <v>1408</v>
      </c>
      <c r="M578" t="s">
        <v>1407</v>
      </c>
      <c r="N578" t="s">
        <v>1408</v>
      </c>
      <c r="O578" t="s">
        <v>56</v>
      </c>
      <c r="P578" t="s">
        <v>922</v>
      </c>
      <c r="Q578" t="s">
        <v>1409</v>
      </c>
      <c r="R578" t="s">
        <v>1410</v>
      </c>
      <c r="S578" t="s">
        <v>1929</v>
      </c>
      <c r="T578">
        <v>480</v>
      </c>
      <c r="U578" t="s">
        <v>1411</v>
      </c>
      <c r="V578" t="s">
        <v>1412</v>
      </c>
    </row>
    <row r="579" spans="12:22">
      <c r="L579" t="s">
        <v>1408</v>
      </c>
      <c r="M579" t="s">
        <v>1407</v>
      </c>
      <c r="N579" t="s">
        <v>1413</v>
      </c>
      <c r="O579" t="s">
        <v>56</v>
      </c>
      <c r="P579" t="s">
        <v>922</v>
      </c>
      <c r="Q579" t="s">
        <v>1409</v>
      </c>
      <c r="R579" t="s">
        <v>1410</v>
      </c>
      <c r="S579" t="s">
        <v>1929</v>
      </c>
      <c r="T579">
        <v>480</v>
      </c>
      <c r="U579" t="s">
        <v>1411</v>
      </c>
      <c r="V579" t="s">
        <v>1412</v>
      </c>
    </row>
    <row r="580" spans="12:22">
      <c r="L580" t="s">
        <v>1058</v>
      </c>
      <c r="M580" t="s">
        <v>1044</v>
      </c>
      <c r="N580" t="s">
        <v>1058</v>
      </c>
      <c r="O580" t="s">
        <v>572</v>
      </c>
      <c r="P580" t="s">
        <v>573</v>
      </c>
      <c r="Q580" t="s">
        <v>1059</v>
      </c>
      <c r="R580" t="s">
        <v>1060</v>
      </c>
      <c r="S580" t="s">
        <v>1866</v>
      </c>
      <c r="T580">
        <v>180</v>
      </c>
      <c r="U580" t="s">
        <v>1048</v>
      </c>
      <c r="V580" t="s">
        <v>1061</v>
      </c>
    </row>
    <row r="581" spans="12:22">
      <c r="L581" t="s">
        <v>953</v>
      </c>
      <c r="M581" t="s">
        <v>915</v>
      </c>
      <c r="N581" t="s">
        <v>953</v>
      </c>
      <c r="O581" t="s">
        <v>564</v>
      </c>
      <c r="P581" t="s">
        <v>565</v>
      </c>
      <c r="Q581" t="s">
        <v>954</v>
      </c>
      <c r="R581" t="s">
        <v>955</v>
      </c>
      <c r="S581" t="s">
        <v>1843</v>
      </c>
      <c r="T581">
        <v>120</v>
      </c>
      <c r="U581" t="s">
        <v>919</v>
      </c>
      <c r="V581" t="s">
        <v>956</v>
      </c>
    </row>
    <row r="582" spans="12:22">
      <c r="L582" t="s">
        <v>953</v>
      </c>
      <c r="M582" t="s">
        <v>915</v>
      </c>
      <c r="N582" t="s">
        <v>957</v>
      </c>
      <c r="O582" t="s">
        <v>564</v>
      </c>
      <c r="P582" t="s">
        <v>565</v>
      </c>
      <c r="Q582" t="s">
        <v>954</v>
      </c>
      <c r="R582" t="s">
        <v>955</v>
      </c>
      <c r="S582" t="s">
        <v>1843</v>
      </c>
      <c r="T582">
        <v>120</v>
      </c>
      <c r="U582" t="s">
        <v>919</v>
      </c>
      <c r="V582" t="s">
        <v>956</v>
      </c>
    </row>
    <row r="583" spans="12:22">
      <c r="L583" t="s">
        <v>953</v>
      </c>
      <c r="M583" t="s">
        <v>915</v>
      </c>
      <c r="N583" t="s">
        <v>958</v>
      </c>
      <c r="O583" t="s">
        <v>564</v>
      </c>
      <c r="P583" t="s">
        <v>565</v>
      </c>
      <c r="Q583" t="s">
        <v>954</v>
      </c>
      <c r="R583" t="s">
        <v>955</v>
      </c>
      <c r="S583" t="s">
        <v>1843</v>
      </c>
      <c r="T583">
        <v>120</v>
      </c>
      <c r="U583" t="s">
        <v>919</v>
      </c>
      <c r="V583" t="s">
        <v>956</v>
      </c>
    </row>
    <row r="584" spans="12:22">
      <c r="L584" t="s">
        <v>953</v>
      </c>
      <c r="M584" t="s">
        <v>915</v>
      </c>
      <c r="N584" t="s">
        <v>959</v>
      </c>
      <c r="O584" t="s">
        <v>564</v>
      </c>
      <c r="P584" t="s">
        <v>565</v>
      </c>
      <c r="Q584" t="s">
        <v>954</v>
      </c>
      <c r="R584" t="s">
        <v>955</v>
      </c>
      <c r="S584" t="s">
        <v>1843</v>
      </c>
      <c r="T584">
        <v>120</v>
      </c>
      <c r="U584" t="s">
        <v>919</v>
      </c>
      <c r="V584" t="s">
        <v>956</v>
      </c>
    </row>
    <row r="585" spans="12:22">
      <c r="L585" t="s">
        <v>1097</v>
      </c>
      <c r="M585" t="s">
        <v>1086</v>
      </c>
      <c r="N585" t="s">
        <v>1097</v>
      </c>
      <c r="O585" t="s">
        <v>564</v>
      </c>
      <c r="P585" t="s">
        <v>565</v>
      </c>
      <c r="Q585" t="s">
        <v>954</v>
      </c>
      <c r="R585" t="s">
        <v>955</v>
      </c>
      <c r="S585" t="s">
        <v>1875</v>
      </c>
      <c r="T585">
        <v>180</v>
      </c>
      <c r="U585" t="s">
        <v>1090</v>
      </c>
      <c r="V585" t="s">
        <v>1098</v>
      </c>
    </row>
    <row r="586" spans="12:22">
      <c r="L586" t="s">
        <v>1066</v>
      </c>
      <c r="M586" t="s">
        <v>1044</v>
      </c>
      <c r="N586" t="s">
        <v>1066</v>
      </c>
      <c r="O586" t="s">
        <v>572</v>
      </c>
      <c r="P586" t="s">
        <v>573</v>
      </c>
      <c r="Q586" t="s">
        <v>1067</v>
      </c>
      <c r="R586" t="s">
        <v>1068</v>
      </c>
      <c r="S586" t="s">
        <v>1868</v>
      </c>
      <c r="T586">
        <v>180</v>
      </c>
      <c r="U586" t="s">
        <v>1048</v>
      </c>
      <c r="V586" t="s">
        <v>1069</v>
      </c>
    </row>
    <row r="587" spans="12:22">
      <c r="L587" t="s">
        <v>49</v>
      </c>
      <c r="M587" t="s">
        <v>48</v>
      </c>
      <c r="N587" t="s">
        <v>49</v>
      </c>
      <c r="O587" t="s">
        <v>42</v>
      </c>
      <c r="P587" t="s">
        <v>43</v>
      </c>
      <c r="Q587" t="s">
        <v>50</v>
      </c>
      <c r="R587" t="s">
        <v>51</v>
      </c>
      <c r="S587" t="s">
        <v>1661</v>
      </c>
      <c r="T587">
        <v>-660</v>
      </c>
      <c r="U587" t="s">
        <v>52</v>
      </c>
      <c r="V587" t="s">
        <v>53</v>
      </c>
    </row>
    <row r="588" spans="12:22">
      <c r="L588" t="s">
        <v>1581</v>
      </c>
      <c r="M588" t="s">
        <v>1615</v>
      </c>
      <c r="N588" t="s">
        <v>1581</v>
      </c>
      <c r="O588" t="s">
        <v>42</v>
      </c>
      <c r="P588" t="s">
        <v>43</v>
      </c>
      <c r="Q588" t="s">
        <v>50</v>
      </c>
      <c r="R588" t="s">
        <v>51</v>
      </c>
      <c r="S588" t="s">
        <v>1965</v>
      </c>
      <c r="T588">
        <v>720</v>
      </c>
      <c r="U588" t="s">
        <v>1616</v>
      </c>
      <c r="V588" t="s">
        <v>1617</v>
      </c>
    </row>
    <row r="589" spans="12:22">
      <c r="L589" t="s">
        <v>67</v>
      </c>
      <c r="M589" t="s">
        <v>66</v>
      </c>
      <c r="N589" t="s">
        <v>67</v>
      </c>
      <c r="O589" t="s">
        <v>68</v>
      </c>
      <c r="P589" t="s">
        <v>69</v>
      </c>
      <c r="Q589" t="s">
        <v>70</v>
      </c>
      <c r="R589" t="s">
        <v>71</v>
      </c>
      <c r="S589" t="s">
        <v>1664</v>
      </c>
      <c r="T589">
        <v>-600</v>
      </c>
      <c r="U589" t="s">
        <v>72</v>
      </c>
      <c r="V589" t="s">
        <v>73</v>
      </c>
    </row>
    <row r="590" spans="12:22">
      <c r="L590" t="s">
        <v>67</v>
      </c>
      <c r="M590" t="s">
        <v>66</v>
      </c>
      <c r="N590" t="s">
        <v>74</v>
      </c>
      <c r="O590" t="s">
        <v>68</v>
      </c>
      <c r="P590" t="s">
        <v>69</v>
      </c>
      <c r="Q590" t="s">
        <v>70</v>
      </c>
      <c r="R590" t="s">
        <v>71</v>
      </c>
      <c r="S590" t="s">
        <v>1664</v>
      </c>
      <c r="T590">
        <v>-600</v>
      </c>
      <c r="U590" t="s">
        <v>72</v>
      </c>
      <c r="V590" t="s">
        <v>73</v>
      </c>
    </row>
    <row r="591" spans="12:22">
      <c r="L591" t="s">
        <v>67</v>
      </c>
      <c r="M591" t="s">
        <v>66</v>
      </c>
      <c r="N591" t="s">
        <v>75</v>
      </c>
      <c r="O591" t="s">
        <v>68</v>
      </c>
      <c r="P591" t="s">
        <v>69</v>
      </c>
      <c r="Q591" t="s">
        <v>70</v>
      </c>
      <c r="R591" t="s">
        <v>71</v>
      </c>
      <c r="S591" t="s">
        <v>1664</v>
      </c>
      <c r="T591">
        <v>-600</v>
      </c>
      <c r="U591" t="s">
        <v>72</v>
      </c>
      <c r="V591" t="s">
        <v>73</v>
      </c>
    </row>
    <row r="592" spans="12:22">
      <c r="L592" t="s">
        <v>76</v>
      </c>
      <c r="M592" t="s">
        <v>66</v>
      </c>
      <c r="N592" t="s">
        <v>76</v>
      </c>
      <c r="O592" t="s">
        <v>68</v>
      </c>
      <c r="P592" t="s">
        <v>69</v>
      </c>
      <c r="Q592" t="s">
        <v>70</v>
      </c>
      <c r="R592" t="s">
        <v>71</v>
      </c>
      <c r="S592" t="s">
        <v>1665</v>
      </c>
      <c r="T592">
        <v>-600</v>
      </c>
      <c r="U592" t="s">
        <v>72</v>
      </c>
      <c r="V592" t="s">
        <v>77</v>
      </c>
    </row>
    <row r="593" spans="12:22">
      <c r="L593" t="s">
        <v>76</v>
      </c>
      <c r="M593" t="s">
        <v>66</v>
      </c>
      <c r="N593" t="s">
        <v>78</v>
      </c>
      <c r="O593" t="s">
        <v>68</v>
      </c>
      <c r="P593" t="s">
        <v>69</v>
      </c>
      <c r="Q593" t="s">
        <v>70</v>
      </c>
      <c r="R593" t="s">
        <v>71</v>
      </c>
      <c r="S593" t="s">
        <v>1665</v>
      </c>
      <c r="T593">
        <v>-600</v>
      </c>
      <c r="U593" t="s">
        <v>72</v>
      </c>
      <c r="V593" t="s">
        <v>77</v>
      </c>
    </row>
    <row r="594" spans="12:22">
      <c r="L594" t="s">
        <v>76</v>
      </c>
      <c r="M594" t="s">
        <v>66</v>
      </c>
      <c r="N594" t="s">
        <v>79</v>
      </c>
      <c r="O594" t="s">
        <v>68</v>
      </c>
      <c r="P594" t="s">
        <v>69</v>
      </c>
      <c r="Q594" t="s">
        <v>70</v>
      </c>
      <c r="R594" t="s">
        <v>71</v>
      </c>
      <c r="S594" t="s">
        <v>1665</v>
      </c>
      <c r="T594">
        <v>-600</v>
      </c>
      <c r="U594" t="s">
        <v>72</v>
      </c>
      <c r="V594" t="s">
        <v>77</v>
      </c>
    </row>
    <row r="595" spans="12:22">
      <c r="L595" t="s">
        <v>76</v>
      </c>
      <c r="M595" t="s">
        <v>66</v>
      </c>
      <c r="N595" t="s">
        <v>80</v>
      </c>
      <c r="O595" t="s">
        <v>68</v>
      </c>
      <c r="P595" t="s">
        <v>69</v>
      </c>
      <c r="Q595" t="s">
        <v>70</v>
      </c>
      <c r="R595" t="s">
        <v>71</v>
      </c>
      <c r="S595" t="s">
        <v>1665</v>
      </c>
      <c r="T595">
        <v>-600</v>
      </c>
      <c r="U595" t="s">
        <v>72</v>
      </c>
      <c r="V595" t="s">
        <v>77</v>
      </c>
    </row>
    <row r="596" spans="12:22">
      <c r="L596" t="s">
        <v>92</v>
      </c>
      <c r="M596" t="s">
        <v>91</v>
      </c>
      <c r="N596" t="s">
        <v>92</v>
      </c>
      <c r="O596" t="s">
        <v>68</v>
      </c>
      <c r="P596" t="s">
        <v>69</v>
      </c>
      <c r="Q596" t="s">
        <v>70</v>
      </c>
      <c r="R596" t="s">
        <v>71</v>
      </c>
      <c r="S596" t="s">
        <v>1668</v>
      </c>
      <c r="T596">
        <v>-540</v>
      </c>
      <c r="U596" t="s">
        <v>93</v>
      </c>
      <c r="V596" t="s">
        <v>94</v>
      </c>
    </row>
    <row r="597" spans="12:22">
      <c r="L597" t="s">
        <v>92</v>
      </c>
      <c r="M597" t="s">
        <v>91</v>
      </c>
      <c r="N597" t="s">
        <v>95</v>
      </c>
      <c r="O597" t="s">
        <v>68</v>
      </c>
      <c r="P597" t="s">
        <v>69</v>
      </c>
      <c r="Q597" t="s">
        <v>70</v>
      </c>
      <c r="R597" t="s">
        <v>71</v>
      </c>
      <c r="S597" t="s">
        <v>1668</v>
      </c>
      <c r="T597">
        <v>-540</v>
      </c>
      <c r="U597" t="s">
        <v>93</v>
      </c>
      <c r="V597" t="s">
        <v>94</v>
      </c>
    </row>
    <row r="598" spans="12:22">
      <c r="L598" t="s">
        <v>92</v>
      </c>
      <c r="M598" t="s">
        <v>91</v>
      </c>
      <c r="N598" t="s">
        <v>96</v>
      </c>
      <c r="O598" t="s">
        <v>68</v>
      </c>
      <c r="P598" t="s">
        <v>69</v>
      </c>
      <c r="Q598" t="s">
        <v>70</v>
      </c>
      <c r="R598" t="s">
        <v>71</v>
      </c>
      <c r="S598" t="s">
        <v>1668</v>
      </c>
      <c r="T598">
        <v>-540</v>
      </c>
      <c r="U598" t="s">
        <v>93</v>
      </c>
      <c r="V598" t="s">
        <v>94</v>
      </c>
    </row>
    <row r="599" spans="12:22">
      <c r="L599" t="s">
        <v>92</v>
      </c>
      <c r="M599" t="s">
        <v>91</v>
      </c>
      <c r="N599" t="s">
        <v>97</v>
      </c>
      <c r="O599" t="s">
        <v>68</v>
      </c>
      <c r="P599" t="s">
        <v>69</v>
      </c>
      <c r="Q599" t="s">
        <v>70</v>
      </c>
      <c r="R599" t="s">
        <v>71</v>
      </c>
      <c r="S599" t="s">
        <v>1668</v>
      </c>
      <c r="T599">
        <v>-540</v>
      </c>
      <c r="U599" t="s">
        <v>93</v>
      </c>
      <c r="V599" t="s">
        <v>94</v>
      </c>
    </row>
    <row r="600" spans="12:22">
      <c r="L600" t="s">
        <v>92</v>
      </c>
      <c r="M600" t="s">
        <v>91</v>
      </c>
      <c r="N600" t="s">
        <v>98</v>
      </c>
      <c r="O600" t="s">
        <v>68</v>
      </c>
      <c r="P600" t="s">
        <v>69</v>
      </c>
      <c r="Q600" t="s">
        <v>70</v>
      </c>
      <c r="R600" t="s">
        <v>71</v>
      </c>
      <c r="S600" t="s">
        <v>1668</v>
      </c>
      <c r="T600">
        <v>-540</v>
      </c>
      <c r="U600" t="s">
        <v>93</v>
      </c>
      <c r="V600" t="s">
        <v>94</v>
      </c>
    </row>
    <row r="601" spans="12:22">
      <c r="L601" t="s">
        <v>92</v>
      </c>
      <c r="M601" t="s">
        <v>91</v>
      </c>
      <c r="N601" t="s">
        <v>99</v>
      </c>
      <c r="O601" t="s">
        <v>68</v>
      </c>
      <c r="P601" t="s">
        <v>69</v>
      </c>
      <c r="Q601" t="s">
        <v>70</v>
      </c>
      <c r="R601" t="s">
        <v>71</v>
      </c>
      <c r="S601" t="s">
        <v>1668</v>
      </c>
      <c r="T601">
        <v>-540</v>
      </c>
      <c r="U601" t="s">
        <v>93</v>
      </c>
      <c r="V601" t="s">
        <v>94</v>
      </c>
    </row>
    <row r="602" spans="12:22">
      <c r="L602" t="s">
        <v>92</v>
      </c>
      <c r="M602" t="s">
        <v>91</v>
      </c>
      <c r="N602" t="s">
        <v>100</v>
      </c>
      <c r="O602" t="s">
        <v>68</v>
      </c>
      <c r="P602" t="s">
        <v>69</v>
      </c>
      <c r="Q602" t="s">
        <v>70</v>
      </c>
      <c r="R602" t="s">
        <v>71</v>
      </c>
      <c r="S602" t="s">
        <v>1668</v>
      </c>
      <c r="T602">
        <v>-540</v>
      </c>
      <c r="U602" t="s">
        <v>93</v>
      </c>
      <c r="V602" t="s">
        <v>94</v>
      </c>
    </row>
    <row r="603" spans="12:22">
      <c r="L603" t="s">
        <v>106</v>
      </c>
      <c r="M603" t="s">
        <v>105</v>
      </c>
      <c r="N603" t="s">
        <v>106</v>
      </c>
      <c r="O603" t="s">
        <v>68</v>
      </c>
      <c r="P603" t="s">
        <v>69</v>
      </c>
      <c r="Q603" t="s">
        <v>70</v>
      </c>
      <c r="R603" t="s">
        <v>71</v>
      </c>
      <c r="S603" t="s">
        <v>1670</v>
      </c>
      <c r="T603">
        <v>-480</v>
      </c>
      <c r="U603" t="s">
        <v>107</v>
      </c>
      <c r="V603" t="s">
        <v>108</v>
      </c>
    </row>
    <row r="604" spans="12:22">
      <c r="L604" t="s">
        <v>106</v>
      </c>
      <c r="M604" t="s">
        <v>105</v>
      </c>
      <c r="N604" t="s">
        <v>109</v>
      </c>
      <c r="O604" t="s">
        <v>68</v>
      </c>
      <c r="P604" t="s">
        <v>69</v>
      </c>
      <c r="Q604" t="s">
        <v>70</v>
      </c>
      <c r="R604" t="s">
        <v>71</v>
      </c>
      <c r="S604" t="s">
        <v>1670</v>
      </c>
      <c r="T604">
        <v>-480</v>
      </c>
      <c r="U604" t="s">
        <v>107</v>
      </c>
      <c r="V604" t="s">
        <v>108</v>
      </c>
    </row>
    <row r="605" spans="12:22">
      <c r="L605" t="s">
        <v>106</v>
      </c>
      <c r="M605" t="s">
        <v>105</v>
      </c>
      <c r="N605" t="s">
        <v>110</v>
      </c>
      <c r="O605" t="s">
        <v>68</v>
      </c>
      <c r="P605" t="s">
        <v>69</v>
      </c>
      <c r="Q605" t="s">
        <v>70</v>
      </c>
      <c r="R605" t="s">
        <v>71</v>
      </c>
      <c r="S605" t="s">
        <v>1670</v>
      </c>
      <c r="T605">
        <v>-480</v>
      </c>
      <c r="U605" t="s">
        <v>107</v>
      </c>
      <c r="V605" t="s">
        <v>108</v>
      </c>
    </row>
    <row r="606" spans="12:22">
      <c r="L606" t="s">
        <v>146</v>
      </c>
      <c r="M606" t="s">
        <v>134</v>
      </c>
      <c r="N606" t="s">
        <v>144</v>
      </c>
      <c r="O606" t="s">
        <v>68</v>
      </c>
      <c r="P606" t="s">
        <v>69</v>
      </c>
      <c r="Q606" t="s">
        <v>70</v>
      </c>
      <c r="R606" t="s">
        <v>71</v>
      </c>
      <c r="S606" t="s">
        <v>1677</v>
      </c>
      <c r="T606">
        <v>-420</v>
      </c>
      <c r="U606" t="s">
        <v>136</v>
      </c>
      <c r="V606" t="s">
        <v>145</v>
      </c>
    </row>
    <row r="607" spans="12:22">
      <c r="L607" t="s">
        <v>146</v>
      </c>
      <c r="M607" t="s">
        <v>134</v>
      </c>
      <c r="N607" t="s">
        <v>146</v>
      </c>
      <c r="O607" t="s">
        <v>68</v>
      </c>
      <c r="P607" t="s">
        <v>69</v>
      </c>
      <c r="Q607" t="s">
        <v>70</v>
      </c>
      <c r="R607" t="s">
        <v>71</v>
      </c>
      <c r="S607" t="s">
        <v>1677</v>
      </c>
      <c r="T607">
        <v>-420</v>
      </c>
      <c r="U607" t="s">
        <v>136</v>
      </c>
      <c r="V607" t="s">
        <v>145</v>
      </c>
    </row>
    <row r="608" spans="12:22">
      <c r="L608" t="s">
        <v>146</v>
      </c>
      <c r="M608" t="s">
        <v>134</v>
      </c>
      <c r="N608" t="s">
        <v>147</v>
      </c>
      <c r="O608" t="s">
        <v>68</v>
      </c>
      <c r="P608" t="s">
        <v>69</v>
      </c>
      <c r="Q608" t="s">
        <v>70</v>
      </c>
      <c r="R608" t="s">
        <v>71</v>
      </c>
      <c r="S608" t="s">
        <v>1677</v>
      </c>
      <c r="T608">
        <v>-420</v>
      </c>
      <c r="U608" t="s">
        <v>136</v>
      </c>
      <c r="V608" t="s">
        <v>145</v>
      </c>
    </row>
    <row r="609" spans="12:22">
      <c r="L609" t="s">
        <v>146</v>
      </c>
      <c r="M609" t="s">
        <v>134</v>
      </c>
      <c r="N609" t="s">
        <v>148</v>
      </c>
      <c r="O609" t="s">
        <v>68</v>
      </c>
      <c r="P609" t="s">
        <v>69</v>
      </c>
      <c r="Q609" t="s">
        <v>70</v>
      </c>
      <c r="R609" t="s">
        <v>71</v>
      </c>
      <c r="S609" t="s">
        <v>1677</v>
      </c>
      <c r="T609">
        <v>-420</v>
      </c>
      <c r="U609" t="s">
        <v>136</v>
      </c>
      <c r="V609" t="s">
        <v>145</v>
      </c>
    </row>
    <row r="610" spans="12:22">
      <c r="L610" t="s">
        <v>146</v>
      </c>
      <c r="M610" t="s">
        <v>134</v>
      </c>
      <c r="N610" t="s">
        <v>149</v>
      </c>
      <c r="O610" t="s">
        <v>68</v>
      </c>
      <c r="P610" t="s">
        <v>69</v>
      </c>
      <c r="Q610" t="s">
        <v>70</v>
      </c>
      <c r="R610" t="s">
        <v>71</v>
      </c>
      <c r="S610" t="s">
        <v>1677</v>
      </c>
      <c r="T610">
        <v>-420</v>
      </c>
      <c r="U610" t="s">
        <v>136</v>
      </c>
      <c r="V610" t="s">
        <v>145</v>
      </c>
    </row>
    <row r="611" spans="12:22">
      <c r="L611" t="s">
        <v>146</v>
      </c>
      <c r="M611" t="s">
        <v>134</v>
      </c>
      <c r="N611" t="s">
        <v>150</v>
      </c>
      <c r="O611" t="s">
        <v>68</v>
      </c>
      <c r="P611" t="s">
        <v>69</v>
      </c>
      <c r="Q611" t="s">
        <v>70</v>
      </c>
      <c r="R611" t="s">
        <v>71</v>
      </c>
      <c r="S611" t="s">
        <v>1677</v>
      </c>
      <c r="T611">
        <v>-420</v>
      </c>
      <c r="U611" t="s">
        <v>136</v>
      </c>
      <c r="V611" t="s">
        <v>145</v>
      </c>
    </row>
    <row r="612" spans="12:22">
      <c r="L612" t="s">
        <v>151</v>
      </c>
      <c r="M612" t="s">
        <v>134</v>
      </c>
      <c r="N612" t="s">
        <v>151</v>
      </c>
      <c r="O612" t="s">
        <v>68</v>
      </c>
      <c r="P612" t="s">
        <v>69</v>
      </c>
      <c r="Q612" t="s">
        <v>70</v>
      </c>
      <c r="R612" t="s">
        <v>71</v>
      </c>
      <c r="S612" t="s">
        <v>1678</v>
      </c>
      <c r="T612">
        <v>-420</v>
      </c>
      <c r="U612" t="s">
        <v>136</v>
      </c>
      <c r="V612" t="s">
        <v>152</v>
      </c>
    </row>
    <row r="613" spans="12:22">
      <c r="L613" t="s">
        <v>151</v>
      </c>
      <c r="M613" t="s">
        <v>134</v>
      </c>
      <c r="N613" t="s">
        <v>136</v>
      </c>
      <c r="O613" t="s">
        <v>68</v>
      </c>
      <c r="P613" t="s">
        <v>69</v>
      </c>
      <c r="Q613" t="s">
        <v>70</v>
      </c>
      <c r="R613" t="s">
        <v>71</v>
      </c>
      <c r="S613" t="s">
        <v>1678</v>
      </c>
      <c r="T613">
        <v>-420</v>
      </c>
      <c r="U613" t="s">
        <v>136</v>
      </c>
      <c r="V613" t="s">
        <v>152</v>
      </c>
    </row>
    <row r="614" spans="12:22">
      <c r="L614" t="s">
        <v>151</v>
      </c>
      <c r="M614" t="s">
        <v>134</v>
      </c>
      <c r="N614" t="s">
        <v>153</v>
      </c>
      <c r="O614" t="s">
        <v>68</v>
      </c>
      <c r="P614" t="s">
        <v>69</v>
      </c>
      <c r="Q614" t="s">
        <v>70</v>
      </c>
      <c r="R614" t="s">
        <v>71</v>
      </c>
      <c r="S614" t="s">
        <v>1678</v>
      </c>
      <c r="T614">
        <v>-420</v>
      </c>
      <c r="U614" t="s">
        <v>136</v>
      </c>
      <c r="V614" t="s">
        <v>152</v>
      </c>
    </row>
    <row r="615" spans="12:22">
      <c r="L615" t="s">
        <v>151</v>
      </c>
      <c r="M615" t="s">
        <v>134</v>
      </c>
      <c r="N615" t="s">
        <v>154</v>
      </c>
      <c r="O615" t="s">
        <v>68</v>
      </c>
      <c r="P615" t="s">
        <v>69</v>
      </c>
      <c r="Q615" t="s">
        <v>70</v>
      </c>
      <c r="R615" t="s">
        <v>71</v>
      </c>
      <c r="S615" t="s">
        <v>1678</v>
      </c>
      <c r="T615">
        <v>-420</v>
      </c>
      <c r="U615" t="s">
        <v>136</v>
      </c>
      <c r="V615" t="s">
        <v>152</v>
      </c>
    </row>
    <row r="616" spans="12:22">
      <c r="L616" t="s">
        <v>169</v>
      </c>
      <c r="M616" t="s">
        <v>163</v>
      </c>
      <c r="N616" t="s">
        <v>169</v>
      </c>
      <c r="O616" t="s">
        <v>68</v>
      </c>
      <c r="P616" t="s">
        <v>69</v>
      </c>
      <c r="Q616" t="s">
        <v>70</v>
      </c>
      <c r="R616" t="s">
        <v>71</v>
      </c>
      <c r="S616" t="s">
        <v>1681</v>
      </c>
      <c r="T616">
        <v>-360</v>
      </c>
      <c r="U616" t="s">
        <v>167</v>
      </c>
      <c r="V616" t="s">
        <v>170</v>
      </c>
    </row>
    <row r="617" spans="12:22">
      <c r="L617" t="s">
        <v>169</v>
      </c>
      <c r="M617" t="s">
        <v>163</v>
      </c>
      <c r="N617" t="s">
        <v>171</v>
      </c>
      <c r="O617" t="s">
        <v>68</v>
      </c>
      <c r="P617" t="s">
        <v>69</v>
      </c>
      <c r="Q617" t="s">
        <v>70</v>
      </c>
      <c r="R617" t="s">
        <v>71</v>
      </c>
      <c r="S617" t="s">
        <v>1681</v>
      </c>
      <c r="T617">
        <v>-360</v>
      </c>
      <c r="U617" t="s">
        <v>167</v>
      </c>
      <c r="V617" t="s">
        <v>170</v>
      </c>
    </row>
    <row r="618" spans="12:22">
      <c r="L618" t="s">
        <v>169</v>
      </c>
      <c r="M618" t="s">
        <v>163</v>
      </c>
      <c r="N618" t="s">
        <v>172</v>
      </c>
      <c r="O618" t="s">
        <v>68</v>
      </c>
      <c r="P618" t="s">
        <v>69</v>
      </c>
      <c r="Q618" t="s">
        <v>70</v>
      </c>
      <c r="R618" t="s">
        <v>71</v>
      </c>
      <c r="S618" t="s">
        <v>1681</v>
      </c>
      <c r="T618">
        <v>-360</v>
      </c>
      <c r="U618" t="s">
        <v>167</v>
      </c>
      <c r="V618" t="s">
        <v>170</v>
      </c>
    </row>
    <row r="619" spans="12:22">
      <c r="L619" t="s">
        <v>169</v>
      </c>
      <c r="M619" t="s">
        <v>163</v>
      </c>
      <c r="N619" t="s">
        <v>173</v>
      </c>
      <c r="O619" t="s">
        <v>68</v>
      </c>
      <c r="P619" t="s">
        <v>69</v>
      </c>
      <c r="Q619" t="s">
        <v>70</v>
      </c>
      <c r="R619" t="s">
        <v>71</v>
      </c>
      <c r="S619" t="s">
        <v>1681</v>
      </c>
      <c r="T619">
        <v>-360</v>
      </c>
      <c r="U619" t="s">
        <v>167</v>
      </c>
      <c r="V619" t="s">
        <v>170</v>
      </c>
    </row>
    <row r="620" spans="12:22">
      <c r="L620" t="s">
        <v>169</v>
      </c>
      <c r="M620" t="s">
        <v>163</v>
      </c>
      <c r="N620" t="s">
        <v>174</v>
      </c>
      <c r="O620" t="s">
        <v>68</v>
      </c>
      <c r="P620" t="s">
        <v>69</v>
      </c>
      <c r="Q620" t="s">
        <v>70</v>
      </c>
      <c r="R620" t="s">
        <v>71</v>
      </c>
      <c r="S620" t="s">
        <v>1681</v>
      </c>
      <c r="T620">
        <v>-360</v>
      </c>
      <c r="U620" t="s">
        <v>167</v>
      </c>
      <c r="V620" t="s">
        <v>170</v>
      </c>
    </row>
    <row r="621" spans="12:22">
      <c r="L621" t="s">
        <v>169</v>
      </c>
      <c r="M621" t="s">
        <v>163</v>
      </c>
      <c r="N621" t="s">
        <v>175</v>
      </c>
      <c r="O621" t="s">
        <v>68</v>
      </c>
      <c r="P621" t="s">
        <v>69</v>
      </c>
      <c r="Q621" t="s">
        <v>70</v>
      </c>
      <c r="R621" t="s">
        <v>71</v>
      </c>
      <c r="S621" t="s">
        <v>1681</v>
      </c>
      <c r="T621">
        <v>-360</v>
      </c>
      <c r="U621" t="s">
        <v>167</v>
      </c>
      <c r="V621" t="s">
        <v>170</v>
      </c>
    </row>
    <row r="622" spans="12:22">
      <c r="L622" t="s">
        <v>169</v>
      </c>
      <c r="M622" t="s">
        <v>163</v>
      </c>
      <c r="N622" t="s">
        <v>176</v>
      </c>
      <c r="O622" t="s">
        <v>68</v>
      </c>
      <c r="P622" t="s">
        <v>69</v>
      </c>
      <c r="Q622" t="s">
        <v>70</v>
      </c>
      <c r="R622" t="s">
        <v>71</v>
      </c>
      <c r="S622" t="s">
        <v>1681</v>
      </c>
      <c r="T622">
        <v>-360</v>
      </c>
      <c r="U622" t="s">
        <v>167</v>
      </c>
      <c r="V622" t="s">
        <v>170</v>
      </c>
    </row>
    <row r="623" spans="12:22">
      <c r="L623" t="s">
        <v>169</v>
      </c>
      <c r="M623" t="s">
        <v>163</v>
      </c>
      <c r="N623" t="s">
        <v>177</v>
      </c>
      <c r="O623" t="s">
        <v>68</v>
      </c>
      <c r="P623" t="s">
        <v>69</v>
      </c>
      <c r="Q623" t="s">
        <v>70</v>
      </c>
      <c r="R623" t="s">
        <v>71</v>
      </c>
      <c r="S623" t="s">
        <v>1681</v>
      </c>
      <c r="T623">
        <v>-360</v>
      </c>
      <c r="U623" t="s">
        <v>167</v>
      </c>
      <c r="V623" t="s">
        <v>170</v>
      </c>
    </row>
    <row r="624" spans="12:22">
      <c r="L624" t="s">
        <v>169</v>
      </c>
      <c r="M624" t="s">
        <v>163</v>
      </c>
      <c r="N624" t="s">
        <v>178</v>
      </c>
      <c r="O624" t="s">
        <v>68</v>
      </c>
      <c r="P624" t="s">
        <v>69</v>
      </c>
      <c r="Q624" t="s">
        <v>70</v>
      </c>
      <c r="R624" t="s">
        <v>71</v>
      </c>
      <c r="S624" t="s">
        <v>1681</v>
      </c>
      <c r="T624">
        <v>-360</v>
      </c>
      <c r="U624" t="s">
        <v>167</v>
      </c>
      <c r="V624" t="s">
        <v>170</v>
      </c>
    </row>
    <row r="625" spans="12:22">
      <c r="L625" t="s">
        <v>169</v>
      </c>
      <c r="M625" t="s">
        <v>163</v>
      </c>
      <c r="N625" t="s">
        <v>179</v>
      </c>
      <c r="O625" t="s">
        <v>68</v>
      </c>
      <c r="P625" t="s">
        <v>69</v>
      </c>
      <c r="Q625" t="s">
        <v>70</v>
      </c>
      <c r="R625" t="s">
        <v>71</v>
      </c>
      <c r="S625" t="s">
        <v>1681</v>
      </c>
      <c r="T625">
        <v>-360</v>
      </c>
      <c r="U625" t="s">
        <v>167</v>
      </c>
      <c r="V625" t="s">
        <v>170</v>
      </c>
    </row>
    <row r="626" spans="12:22">
      <c r="L626" t="s">
        <v>169</v>
      </c>
      <c r="M626" t="s">
        <v>163</v>
      </c>
      <c r="N626" t="s">
        <v>180</v>
      </c>
      <c r="O626" t="s">
        <v>68</v>
      </c>
      <c r="P626" t="s">
        <v>69</v>
      </c>
      <c r="Q626" t="s">
        <v>70</v>
      </c>
      <c r="R626" t="s">
        <v>71</v>
      </c>
      <c r="S626" t="s">
        <v>1681</v>
      </c>
      <c r="T626">
        <v>-360</v>
      </c>
      <c r="U626" t="s">
        <v>167</v>
      </c>
      <c r="V626" t="s">
        <v>170</v>
      </c>
    </row>
    <row r="627" spans="12:22">
      <c r="L627" t="s">
        <v>288</v>
      </c>
      <c r="M627" t="s">
        <v>256</v>
      </c>
      <c r="N627" t="s">
        <v>278</v>
      </c>
      <c r="O627" t="s">
        <v>68</v>
      </c>
      <c r="P627" t="s">
        <v>69</v>
      </c>
      <c r="Q627" t="s">
        <v>70</v>
      </c>
      <c r="R627" t="s">
        <v>71</v>
      </c>
      <c r="S627" t="s">
        <v>1702</v>
      </c>
      <c r="T627">
        <v>-300</v>
      </c>
      <c r="U627" t="s">
        <v>258</v>
      </c>
      <c r="V627" t="s">
        <v>279</v>
      </c>
    </row>
    <row r="628" spans="12:22">
      <c r="L628" t="s">
        <v>288</v>
      </c>
      <c r="M628" t="s">
        <v>256</v>
      </c>
      <c r="N628" t="s">
        <v>280</v>
      </c>
      <c r="O628" t="s">
        <v>68</v>
      </c>
      <c r="P628" t="s">
        <v>69</v>
      </c>
      <c r="Q628" t="s">
        <v>70</v>
      </c>
      <c r="R628" t="s">
        <v>71</v>
      </c>
      <c r="S628" t="s">
        <v>1702</v>
      </c>
      <c r="T628">
        <v>-300</v>
      </c>
      <c r="U628" t="s">
        <v>258</v>
      </c>
      <c r="V628" t="s">
        <v>279</v>
      </c>
    </row>
    <row r="629" spans="12:22">
      <c r="L629" t="s">
        <v>288</v>
      </c>
      <c r="M629" t="s">
        <v>256</v>
      </c>
      <c r="N629" t="s">
        <v>281</v>
      </c>
      <c r="O629" t="s">
        <v>68</v>
      </c>
      <c r="P629" t="s">
        <v>69</v>
      </c>
      <c r="Q629" t="s">
        <v>70</v>
      </c>
      <c r="R629" t="s">
        <v>71</v>
      </c>
      <c r="S629" t="s">
        <v>1702</v>
      </c>
      <c r="T629">
        <v>-300</v>
      </c>
      <c r="U629" t="s">
        <v>258</v>
      </c>
      <c r="V629" t="s">
        <v>279</v>
      </c>
    </row>
    <row r="630" spans="12:22">
      <c r="L630" t="s">
        <v>288</v>
      </c>
      <c r="M630" t="s">
        <v>256</v>
      </c>
      <c r="N630" t="s">
        <v>282</v>
      </c>
      <c r="O630" t="s">
        <v>68</v>
      </c>
      <c r="P630" t="s">
        <v>69</v>
      </c>
      <c r="Q630" t="s">
        <v>70</v>
      </c>
      <c r="R630" t="s">
        <v>71</v>
      </c>
      <c r="S630" t="s">
        <v>1702</v>
      </c>
      <c r="T630">
        <v>-300</v>
      </c>
      <c r="U630" t="s">
        <v>258</v>
      </c>
      <c r="V630" t="s">
        <v>279</v>
      </c>
    </row>
    <row r="631" spans="12:22">
      <c r="L631" t="s">
        <v>288</v>
      </c>
      <c r="M631" t="s">
        <v>256</v>
      </c>
      <c r="N631" t="s">
        <v>283</v>
      </c>
      <c r="O631" t="s">
        <v>68</v>
      </c>
      <c r="P631" t="s">
        <v>69</v>
      </c>
      <c r="Q631" t="s">
        <v>70</v>
      </c>
      <c r="R631" t="s">
        <v>71</v>
      </c>
      <c r="S631" t="s">
        <v>1702</v>
      </c>
      <c r="T631">
        <v>-300</v>
      </c>
      <c r="U631" t="s">
        <v>258</v>
      </c>
      <c r="V631" t="s">
        <v>279</v>
      </c>
    </row>
    <row r="632" spans="12:22">
      <c r="L632" t="s">
        <v>288</v>
      </c>
      <c r="M632" t="s">
        <v>256</v>
      </c>
      <c r="N632" t="s">
        <v>284</v>
      </c>
      <c r="O632" t="s">
        <v>68</v>
      </c>
      <c r="P632" t="s">
        <v>69</v>
      </c>
      <c r="Q632" t="s">
        <v>70</v>
      </c>
      <c r="R632" t="s">
        <v>71</v>
      </c>
      <c r="S632" t="s">
        <v>1702</v>
      </c>
      <c r="T632">
        <v>-300</v>
      </c>
      <c r="U632" t="s">
        <v>258</v>
      </c>
      <c r="V632" t="s">
        <v>279</v>
      </c>
    </row>
    <row r="633" spans="12:22">
      <c r="L633" t="s">
        <v>288</v>
      </c>
      <c r="M633" t="s">
        <v>256</v>
      </c>
      <c r="N633" t="s">
        <v>285</v>
      </c>
      <c r="O633" t="s">
        <v>68</v>
      </c>
      <c r="P633" t="s">
        <v>69</v>
      </c>
      <c r="Q633" t="s">
        <v>70</v>
      </c>
      <c r="R633" t="s">
        <v>71</v>
      </c>
      <c r="S633" t="s">
        <v>1702</v>
      </c>
      <c r="T633">
        <v>-300</v>
      </c>
      <c r="U633" t="s">
        <v>258</v>
      </c>
      <c r="V633" t="s">
        <v>279</v>
      </c>
    </row>
    <row r="634" spans="12:22">
      <c r="L634" t="s">
        <v>288</v>
      </c>
      <c r="M634" t="s">
        <v>256</v>
      </c>
      <c r="N634" t="s">
        <v>286</v>
      </c>
      <c r="O634" t="s">
        <v>68</v>
      </c>
      <c r="P634" t="s">
        <v>69</v>
      </c>
      <c r="Q634" t="s">
        <v>70</v>
      </c>
      <c r="R634" t="s">
        <v>71</v>
      </c>
      <c r="S634" t="s">
        <v>1702</v>
      </c>
      <c r="T634">
        <v>-300</v>
      </c>
      <c r="U634" t="s">
        <v>258</v>
      </c>
      <c r="V634" t="s">
        <v>279</v>
      </c>
    </row>
    <row r="635" spans="12:22">
      <c r="L635" t="s">
        <v>288</v>
      </c>
      <c r="M635" t="s">
        <v>256</v>
      </c>
      <c r="N635" t="s">
        <v>287</v>
      </c>
      <c r="O635" t="s">
        <v>68</v>
      </c>
      <c r="P635" t="s">
        <v>69</v>
      </c>
      <c r="Q635" t="s">
        <v>70</v>
      </c>
      <c r="R635" t="s">
        <v>71</v>
      </c>
      <c r="S635" t="s">
        <v>1702</v>
      </c>
      <c r="T635">
        <v>-300</v>
      </c>
      <c r="U635" t="s">
        <v>258</v>
      </c>
      <c r="V635" t="s">
        <v>279</v>
      </c>
    </row>
    <row r="636" spans="12:22">
      <c r="L636" t="s">
        <v>288</v>
      </c>
      <c r="M636" t="s">
        <v>256</v>
      </c>
      <c r="N636" t="s">
        <v>288</v>
      </c>
      <c r="O636" t="s">
        <v>68</v>
      </c>
      <c r="P636" t="s">
        <v>69</v>
      </c>
      <c r="Q636" t="s">
        <v>70</v>
      </c>
      <c r="R636" t="s">
        <v>71</v>
      </c>
      <c r="S636" t="s">
        <v>1702</v>
      </c>
      <c r="T636">
        <v>-300</v>
      </c>
      <c r="U636" t="s">
        <v>258</v>
      </c>
      <c r="V636" t="s">
        <v>279</v>
      </c>
    </row>
    <row r="637" spans="12:22">
      <c r="L637" t="s">
        <v>288</v>
      </c>
      <c r="M637" t="s">
        <v>256</v>
      </c>
      <c r="N637" t="s">
        <v>289</v>
      </c>
      <c r="O637" t="s">
        <v>68</v>
      </c>
      <c r="P637" t="s">
        <v>69</v>
      </c>
      <c r="Q637" t="s">
        <v>70</v>
      </c>
      <c r="R637" t="s">
        <v>71</v>
      </c>
      <c r="S637" t="s">
        <v>1702</v>
      </c>
      <c r="T637">
        <v>-300</v>
      </c>
      <c r="U637" t="s">
        <v>258</v>
      </c>
      <c r="V637" t="s">
        <v>279</v>
      </c>
    </row>
    <row r="638" spans="12:22">
      <c r="L638" t="s">
        <v>288</v>
      </c>
      <c r="M638" t="s">
        <v>256</v>
      </c>
      <c r="N638" t="s">
        <v>290</v>
      </c>
      <c r="O638" t="s">
        <v>68</v>
      </c>
      <c r="P638" t="s">
        <v>69</v>
      </c>
      <c r="Q638" t="s">
        <v>70</v>
      </c>
      <c r="R638" t="s">
        <v>71</v>
      </c>
      <c r="S638" t="s">
        <v>1702</v>
      </c>
      <c r="T638">
        <v>-300</v>
      </c>
      <c r="U638" t="s">
        <v>258</v>
      </c>
      <c r="V638" t="s">
        <v>279</v>
      </c>
    </row>
    <row r="639" spans="12:22">
      <c r="L639" t="s">
        <v>288</v>
      </c>
      <c r="M639" t="s">
        <v>256</v>
      </c>
      <c r="N639" t="s">
        <v>291</v>
      </c>
      <c r="O639" t="s">
        <v>68</v>
      </c>
      <c r="P639" t="s">
        <v>69</v>
      </c>
      <c r="Q639" t="s">
        <v>70</v>
      </c>
      <c r="R639" t="s">
        <v>71</v>
      </c>
      <c r="S639" t="s">
        <v>1702</v>
      </c>
      <c r="T639">
        <v>-300</v>
      </c>
      <c r="U639" t="s">
        <v>258</v>
      </c>
      <c r="V639" t="s">
        <v>279</v>
      </c>
    </row>
    <row r="640" spans="12:22">
      <c r="L640" t="s">
        <v>288</v>
      </c>
      <c r="M640" t="s">
        <v>256</v>
      </c>
      <c r="N640" t="s">
        <v>292</v>
      </c>
      <c r="O640" t="s">
        <v>68</v>
      </c>
      <c r="P640" t="s">
        <v>69</v>
      </c>
      <c r="Q640" t="s">
        <v>70</v>
      </c>
      <c r="R640" t="s">
        <v>71</v>
      </c>
      <c r="S640" t="s">
        <v>1702</v>
      </c>
      <c r="T640">
        <v>-300</v>
      </c>
      <c r="U640" t="s">
        <v>258</v>
      </c>
      <c r="V640" t="s">
        <v>279</v>
      </c>
    </row>
    <row r="641" spans="12:22">
      <c r="L641" t="s">
        <v>288</v>
      </c>
      <c r="M641" t="s">
        <v>256</v>
      </c>
      <c r="N641" t="s">
        <v>293</v>
      </c>
      <c r="O641" t="s">
        <v>68</v>
      </c>
      <c r="P641" t="s">
        <v>69</v>
      </c>
      <c r="Q641" t="s">
        <v>70</v>
      </c>
      <c r="R641" t="s">
        <v>71</v>
      </c>
      <c r="S641" t="s">
        <v>1702</v>
      </c>
      <c r="T641">
        <v>-300</v>
      </c>
      <c r="U641" t="s">
        <v>258</v>
      </c>
      <c r="V641" t="s">
        <v>279</v>
      </c>
    </row>
    <row r="642" spans="12:22">
      <c r="L642" t="s">
        <v>288</v>
      </c>
      <c r="M642" t="s">
        <v>256</v>
      </c>
      <c r="N642" t="s">
        <v>294</v>
      </c>
      <c r="O642" t="s">
        <v>68</v>
      </c>
      <c r="P642" t="s">
        <v>69</v>
      </c>
      <c r="Q642" t="s">
        <v>70</v>
      </c>
      <c r="R642" t="s">
        <v>71</v>
      </c>
      <c r="S642" t="s">
        <v>1702</v>
      </c>
      <c r="T642">
        <v>-300</v>
      </c>
      <c r="U642" t="s">
        <v>258</v>
      </c>
      <c r="V642" t="s">
        <v>279</v>
      </c>
    </row>
    <row r="643" spans="12:22">
      <c r="L643" t="s">
        <v>288</v>
      </c>
      <c r="M643" t="s">
        <v>256</v>
      </c>
      <c r="N643" t="s">
        <v>295</v>
      </c>
      <c r="O643" t="s">
        <v>68</v>
      </c>
      <c r="P643" t="s">
        <v>69</v>
      </c>
      <c r="Q643" t="s">
        <v>70</v>
      </c>
      <c r="R643" t="s">
        <v>71</v>
      </c>
      <c r="S643" t="s">
        <v>1702</v>
      </c>
      <c r="T643">
        <v>-300</v>
      </c>
      <c r="U643" t="s">
        <v>258</v>
      </c>
      <c r="V643" t="s">
        <v>279</v>
      </c>
    </row>
    <row r="644" spans="12:22">
      <c r="L644" t="s">
        <v>541</v>
      </c>
      <c r="M644" t="s">
        <v>540</v>
      </c>
      <c r="N644" t="s">
        <v>541</v>
      </c>
      <c r="O644" t="s">
        <v>223</v>
      </c>
      <c r="P644" t="s">
        <v>224</v>
      </c>
      <c r="Q644" t="s">
        <v>542</v>
      </c>
      <c r="R644" t="s">
        <v>543</v>
      </c>
      <c r="S644" t="s">
        <v>1749</v>
      </c>
      <c r="T644">
        <v>-180</v>
      </c>
      <c r="U644" t="s">
        <v>544</v>
      </c>
      <c r="V644" t="s">
        <v>545</v>
      </c>
    </row>
    <row r="645" spans="12:22">
      <c r="L645" t="s">
        <v>1213</v>
      </c>
      <c r="M645" t="s">
        <v>1207</v>
      </c>
      <c r="N645" t="s">
        <v>1208</v>
      </c>
      <c r="O645" t="s">
        <v>56</v>
      </c>
      <c r="P645" t="s">
        <v>922</v>
      </c>
      <c r="Q645" t="s">
        <v>1209</v>
      </c>
      <c r="R645" t="s">
        <v>1210</v>
      </c>
      <c r="S645" t="s">
        <v>1895</v>
      </c>
      <c r="T645">
        <v>300</v>
      </c>
      <c r="U645" t="s">
        <v>1211</v>
      </c>
      <c r="V645" t="s">
        <v>1212</v>
      </c>
    </row>
    <row r="646" spans="12:22">
      <c r="L646" t="s">
        <v>1213</v>
      </c>
      <c r="M646" t="s">
        <v>1207</v>
      </c>
      <c r="N646" t="s">
        <v>1213</v>
      </c>
      <c r="O646" t="s">
        <v>56</v>
      </c>
      <c r="P646" t="s">
        <v>922</v>
      </c>
      <c r="Q646" t="s">
        <v>1209</v>
      </c>
      <c r="R646" t="s">
        <v>1210</v>
      </c>
      <c r="S646" t="s">
        <v>1895</v>
      </c>
      <c r="T646">
        <v>300</v>
      </c>
      <c r="U646" t="s">
        <v>1211</v>
      </c>
      <c r="V646" t="s">
        <v>1212</v>
      </c>
    </row>
    <row r="647" spans="12:22">
      <c r="L647" t="s">
        <v>784</v>
      </c>
      <c r="M647" t="s">
        <v>695</v>
      </c>
      <c r="N647" t="s">
        <v>784</v>
      </c>
      <c r="O647" t="s">
        <v>564</v>
      </c>
      <c r="P647" t="s">
        <v>565</v>
      </c>
      <c r="Q647" t="s">
        <v>813</v>
      </c>
      <c r="R647" t="s">
        <v>814</v>
      </c>
      <c r="S647" t="s">
        <v>1809</v>
      </c>
      <c r="T647">
        <v>60</v>
      </c>
      <c r="U647" t="s">
        <v>699</v>
      </c>
      <c r="V647" t="s">
        <v>815</v>
      </c>
    </row>
    <row r="648" spans="12:22">
      <c r="L648" t="s">
        <v>374</v>
      </c>
      <c r="M648" t="s">
        <v>332</v>
      </c>
      <c r="N648" t="s">
        <v>374</v>
      </c>
      <c r="O648" t="s">
        <v>68</v>
      </c>
      <c r="P648" t="s">
        <v>69</v>
      </c>
      <c r="Q648" t="s">
        <v>375</v>
      </c>
      <c r="R648" t="s">
        <v>376</v>
      </c>
      <c r="S648" t="s">
        <v>1719</v>
      </c>
      <c r="T648">
        <v>-240</v>
      </c>
      <c r="U648" t="s">
        <v>336</v>
      </c>
      <c r="V648" t="s">
        <v>377</v>
      </c>
    </row>
    <row r="649" spans="12:22">
      <c r="L649" t="s">
        <v>457</v>
      </c>
      <c r="M649" t="s">
        <v>456</v>
      </c>
      <c r="N649" t="s">
        <v>457</v>
      </c>
      <c r="O649" t="s">
        <v>223</v>
      </c>
      <c r="P649" t="s">
        <v>224</v>
      </c>
      <c r="Q649" t="s">
        <v>458</v>
      </c>
      <c r="R649" t="s">
        <v>459</v>
      </c>
      <c r="S649" t="s">
        <v>1738</v>
      </c>
      <c r="T649">
        <v>-240</v>
      </c>
      <c r="U649" t="s">
        <v>460</v>
      </c>
      <c r="V649" t="s">
        <v>461</v>
      </c>
    </row>
    <row r="650" spans="12:22">
      <c r="L650" t="s">
        <v>398</v>
      </c>
      <c r="M650" t="s">
        <v>332</v>
      </c>
      <c r="N650" t="s">
        <v>398</v>
      </c>
      <c r="O650" t="s">
        <v>68</v>
      </c>
      <c r="P650" t="s">
        <v>69</v>
      </c>
      <c r="Q650" t="s">
        <v>399</v>
      </c>
      <c r="R650" t="s">
        <v>400</v>
      </c>
      <c r="S650" t="s">
        <v>1725</v>
      </c>
      <c r="T650">
        <v>-240</v>
      </c>
      <c r="U650" t="s">
        <v>336</v>
      </c>
      <c r="V650" t="s">
        <v>401</v>
      </c>
    </row>
    <row r="651" spans="12:22">
      <c r="L651" t="s">
        <v>406</v>
      </c>
      <c r="M651" t="s">
        <v>332</v>
      </c>
      <c r="N651" t="s">
        <v>406</v>
      </c>
      <c r="O651" t="s">
        <v>68</v>
      </c>
      <c r="P651" t="s">
        <v>69</v>
      </c>
      <c r="Q651" t="s">
        <v>407</v>
      </c>
      <c r="R651" t="s">
        <v>408</v>
      </c>
      <c r="S651" t="s">
        <v>1727</v>
      </c>
      <c r="T651">
        <v>-240</v>
      </c>
      <c r="U651" t="s">
        <v>336</v>
      </c>
      <c r="V651" t="s">
        <v>409</v>
      </c>
    </row>
    <row r="652" spans="12:22">
      <c r="L652" t="s">
        <v>1320</v>
      </c>
      <c r="M652" t="s">
        <v>1312</v>
      </c>
      <c r="N652" t="s">
        <v>1320</v>
      </c>
      <c r="O652" t="s">
        <v>56</v>
      </c>
      <c r="P652" t="s">
        <v>922</v>
      </c>
      <c r="Q652" t="s">
        <v>1321</v>
      </c>
      <c r="R652" t="s">
        <v>1322</v>
      </c>
      <c r="S652" t="s">
        <v>1913</v>
      </c>
      <c r="T652">
        <v>420</v>
      </c>
      <c r="U652" t="s">
        <v>1316</v>
      </c>
      <c r="V652" t="s">
        <v>1323</v>
      </c>
    </row>
    <row r="653" spans="12:22">
      <c r="L653" t="s">
        <v>1320</v>
      </c>
      <c r="M653" t="s">
        <v>1312</v>
      </c>
      <c r="N653" t="s">
        <v>1324</v>
      </c>
      <c r="O653" t="s">
        <v>56</v>
      </c>
      <c r="P653" t="s">
        <v>922</v>
      </c>
      <c r="Q653" t="s">
        <v>1321</v>
      </c>
      <c r="R653" t="s">
        <v>1322</v>
      </c>
      <c r="S653" t="s">
        <v>1913</v>
      </c>
      <c r="T653">
        <v>420</v>
      </c>
      <c r="U653" t="s">
        <v>1316</v>
      </c>
      <c r="V653" t="s">
        <v>1323</v>
      </c>
    </row>
    <row r="654" spans="12:22">
      <c r="L654" t="s">
        <v>1562</v>
      </c>
      <c r="M654" t="s">
        <v>1561</v>
      </c>
      <c r="N654" t="s">
        <v>1562</v>
      </c>
      <c r="O654" t="s">
        <v>42</v>
      </c>
      <c r="P654" t="s">
        <v>43</v>
      </c>
      <c r="Q654" t="s">
        <v>1563</v>
      </c>
      <c r="R654" t="s">
        <v>1564</v>
      </c>
      <c r="S654" t="s">
        <v>1956</v>
      </c>
      <c r="T654">
        <v>660</v>
      </c>
      <c r="U654" t="s">
        <v>1565</v>
      </c>
      <c r="V654" t="s">
        <v>1566</v>
      </c>
    </row>
    <row r="655" spans="12:22">
      <c r="L655" t="s">
        <v>1582</v>
      </c>
      <c r="M655" t="s">
        <v>1618</v>
      </c>
      <c r="N655" t="s">
        <v>1582</v>
      </c>
      <c r="O655" t="s">
        <v>42</v>
      </c>
      <c r="P655" t="s">
        <v>43</v>
      </c>
      <c r="Q655" t="s">
        <v>1619</v>
      </c>
      <c r="R655" t="s">
        <v>1620</v>
      </c>
      <c r="S655" t="s">
        <v>1966</v>
      </c>
      <c r="T655">
        <v>720</v>
      </c>
      <c r="U655" t="s">
        <v>1621</v>
      </c>
      <c r="V655" t="s">
        <v>1622</v>
      </c>
    </row>
    <row r="656" spans="12:22">
      <c r="L656" t="s">
        <v>1629</v>
      </c>
      <c r="M656" t="s">
        <v>1628</v>
      </c>
      <c r="N656" t="s">
        <v>1629</v>
      </c>
      <c r="O656" t="s">
        <v>42</v>
      </c>
      <c r="P656" t="s">
        <v>43</v>
      </c>
      <c r="Q656" t="s">
        <v>1630</v>
      </c>
      <c r="R656" t="s">
        <v>1631</v>
      </c>
      <c r="S656" t="s">
        <v>1968</v>
      </c>
      <c r="T656">
        <v>780</v>
      </c>
      <c r="U656" t="s">
        <v>1632</v>
      </c>
      <c r="V656" t="s">
        <v>1633</v>
      </c>
    </row>
    <row r="657" spans="12:22">
      <c r="L657" t="s">
        <v>1031</v>
      </c>
      <c r="M657" t="s">
        <v>1010</v>
      </c>
      <c r="N657" t="s">
        <v>1031</v>
      </c>
      <c r="O657" t="s">
        <v>56</v>
      </c>
      <c r="P657" t="s">
        <v>922</v>
      </c>
      <c r="Q657" t="s">
        <v>1032</v>
      </c>
      <c r="R657" t="s">
        <v>1033</v>
      </c>
      <c r="S657" t="s">
        <v>1860</v>
      </c>
      <c r="T657">
        <v>180</v>
      </c>
      <c r="U657" t="s">
        <v>336</v>
      </c>
      <c r="V657" t="s">
        <v>1034</v>
      </c>
    </row>
    <row r="658" spans="12:22">
      <c r="L658" t="s">
        <v>1070</v>
      </c>
      <c r="M658" t="s">
        <v>1044</v>
      </c>
      <c r="N658" t="s">
        <v>1070</v>
      </c>
      <c r="O658" t="s">
        <v>572</v>
      </c>
      <c r="P658" t="s">
        <v>573</v>
      </c>
      <c r="Q658" t="s">
        <v>1071</v>
      </c>
      <c r="R658" t="s">
        <v>156</v>
      </c>
      <c r="S658" t="s">
        <v>1869</v>
      </c>
      <c r="T658">
        <v>180</v>
      </c>
      <c r="U658" t="s">
        <v>1048</v>
      </c>
      <c r="V658" t="s">
        <v>1072</v>
      </c>
    </row>
    <row r="659" spans="12:22">
      <c r="L659" t="s">
        <v>997</v>
      </c>
      <c r="M659" t="s">
        <v>996</v>
      </c>
      <c r="N659" t="s">
        <v>997</v>
      </c>
      <c r="O659" t="s">
        <v>572</v>
      </c>
      <c r="P659" t="s">
        <v>573</v>
      </c>
      <c r="Q659" t="s">
        <v>998</v>
      </c>
      <c r="R659" t="s">
        <v>999</v>
      </c>
      <c r="S659" t="s">
        <v>1852</v>
      </c>
      <c r="T659">
        <v>120</v>
      </c>
      <c r="U659" t="s">
        <v>1000</v>
      </c>
      <c r="V659" t="s">
        <v>1001</v>
      </c>
    </row>
    <row r="660" spans="12:22">
      <c r="L660" t="s">
        <v>997</v>
      </c>
      <c r="M660" t="s">
        <v>996</v>
      </c>
      <c r="N660" t="s">
        <v>1002</v>
      </c>
      <c r="O660" t="s">
        <v>572</v>
      </c>
      <c r="P660" t="s">
        <v>573</v>
      </c>
      <c r="Q660" t="s">
        <v>998</v>
      </c>
      <c r="R660" t="s">
        <v>999</v>
      </c>
      <c r="S660" t="s">
        <v>1852</v>
      </c>
      <c r="T660">
        <v>120</v>
      </c>
      <c r="U660" t="s">
        <v>1000</v>
      </c>
      <c r="V660" t="s">
        <v>1001</v>
      </c>
    </row>
    <row r="661" spans="12:22">
      <c r="L661" t="s">
        <v>997</v>
      </c>
      <c r="M661" t="s">
        <v>996</v>
      </c>
      <c r="N661" t="s">
        <v>1003</v>
      </c>
      <c r="O661" t="s">
        <v>572</v>
      </c>
      <c r="P661" t="s">
        <v>573</v>
      </c>
      <c r="Q661" t="s">
        <v>998</v>
      </c>
      <c r="R661" t="s">
        <v>999</v>
      </c>
      <c r="S661" t="s">
        <v>1852</v>
      </c>
      <c r="T661">
        <v>120</v>
      </c>
      <c r="U661" t="s">
        <v>1000</v>
      </c>
      <c r="V661" t="s">
        <v>1001</v>
      </c>
    </row>
    <row r="662" spans="12:22">
      <c r="L662" t="s">
        <v>907</v>
      </c>
      <c r="M662" t="s">
        <v>690</v>
      </c>
      <c r="N662" t="s">
        <v>907</v>
      </c>
      <c r="O662" t="s">
        <v>572</v>
      </c>
      <c r="P662" t="s">
        <v>573</v>
      </c>
      <c r="Q662" t="s">
        <v>908</v>
      </c>
      <c r="R662" t="s">
        <v>909</v>
      </c>
      <c r="S662" t="s">
        <v>1833</v>
      </c>
      <c r="T662">
        <v>120</v>
      </c>
      <c r="U662" t="s">
        <v>693</v>
      </c>
      <c r="V662" t="s">
        <v>910</v>
      </c>
    </row>
    <row r="663" spans="12:22">
      <c r="L663" t="s">
        <v>885</v>
      </c>
      <c r="M663" t="s">
        <v>690</v>
      </c>
      <c r="N663" t="s">
        <v>885</v>
      </c>
      <c r="O663" t="s">
        <v>572</v>
      </c>
      <c r="P663" t="s">
        <v>573</v>
      </c>
      <c r="Q663" t="s">
        <v>886</v>
      </c>
      <c r="R663" t="s">
        <v>887</v>
      </c>
      <c r="S663" t="s">
        <v>1827</v>
      </c>
      <c r="T663">
        <v>120</v>
      </c>
      <c r="U663" t="s">
        <v>693</v>
      </c>
      <c r="V663" t="s">
        <v>888</v>
      </c>
    </row>
  </sheetData>
  <dataValidations count="3">
    <dataValidation type="list" allowBlank="1" showInputMessage="1" showErrorMessage="1" sqref="C11 C8 C12 C10 C9 C7" xr:uid="{50638E05-C78F-4ED1-A88E-11A7E73F9090}">
      <formula1>INDIRECT("vvoTimeZone[group]")</formula1>
    </dataValidation>
    <dataValidation allowBlank="1" showErrorMessage="1" sqref="B7:B8" xr:uid="{61E76981-667A-45B5-A003-2EEA58EC4674}"/>
    <dataValidation type="list" allowBlank="1" showInputMessage="1" showErrorMessage="1" sqref="C13:C16" xr:uid="{48157973-2545-4F3E-BB4F-D6332D7EFC90}">
      <formula1>#REF!</formula1>
    </dataValidation>
  </dataValidations>
  <hyperlinks>
    <hyperlink ref="A1" location="Contents!A1" display="Back to Contents" xr:uid="{CEC19296-ECFA-49FD-AE8F-86B51A9892EE}"/>
  </hyperlink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4" tint="0.39997558519241921"/>
  </sheetPr>
  <dimension ref="A1:J15"/>
  <sheetViews>
    <sheetView zoomScaleNormal="100" workbookViewId="0"/>
  </sheetViews>
  <sheetFormatPr defaultRowHeight="14.4"/>
  <cols>
    <col min="1" max="1" width="20.88671875" bestFit="1" customWidth="1"/>
    <col min="2" max="2" width="16.44140625" customWidth="1"/>
    <col min="3" max="3" width="23.33203125" bestFit="1" customWidth="1"/>
  </cols>
  <sheetData>
    <row r="1" spans="1:10">
      <c r="A1" s="7" t="s">
        <v>1978</v>
      </c>
    </row>
    <row r="2" spans="1:10">
      <c r="A2" s="7"/>
    </row>
    <row r="3" spans="1:10" ht="20.399999999999999" customHeight="1">
      <c r="A3" s="1" t="s">
        <v>2</v>
      </c>
      <c r="B3" s="1" t="s">
        <v>14</v>
      </c>
      <c r="C3" s="1" t="str">
        <f>VLOOKUP(A3,$G$3:$J$20,4,)</f>
        <v>需手动粘贴单号到输入框</v>
      </c>
      <c r="G3" t="s">
        <v>13</v>
      </c>
      <c r="H3" t="s">
        <v>12</v>
      </c>
      <c r="I3" t="s">
        <v>15</v>
      </c>
      <c r="J3" t="s">
        <v>16</v>
      </c>
    </row>
    <row r="4" spans="1:10">
      <c r="G4" t="s">
        <v>0</v>
      </c>
      <c r="H4" t="s">
        <v>1</v>
      </c>
      <c r="I4" t="s">
        <v>17</v>
      </c>
      <c r="J4" t="s">
        <v>29</v>
      </c>
    </row>
    <row r="5" spans="1:10">
      <c r="G5" t="s">
        <v>2</v>
      </c>
      <c r="H5" t="s">
        <v>28</v>
      </c>
      <c r="I5" t="s">
        <v>18</v>
      </c>
      <c r="J5" t="s">
        <v>19</v>
      </c>
    </row>
    <row r="6" spans="1:10">
      <c r="G6" t="s">
        <v>3</v>
      </c>
      <c r="H6" t="s">
        <v>27</v>
      </c>
      <c r="I6" t="s">
        <v>18</v>
      </c>
      <c r="J6" t="s">
        <v>19</v>
      </c>
    </row>
    <row r="7" spans="1:10">
      <c r="G7" t="s">
        <v>4</v>
      </c>
      <c r="H7" t="s">
        <v>5</v>
      </c>
      <c r="I7" t="s">
        <v>17</v>
      </c>
      <c r="J7" t="s">
        <v>29</v>
      </c>
    </row>
    <row r="8" spans="1:10">
      <c r="G8" t="s">
        <v>6</v>
      </c>
      <c r="H8" t="s">
        <v>7</v>
      </c>
      <c r="I8" t="s">
        <v>17</v>
      </c>
      <c r="J8" t="s">
        <v>29</v>
      </c>
    </row>
    <row r="9" spans="1:10">
      <c r="G9" t="s">
        <v>8</v>
      </c>
      <c r="H9" t="s">
        <v>1655</v>
      </c>
      <c r="I9" t="s">
        <v>18</v>
      </c>
      <c r="J9" t="s">
        <v>19</v>
      </c>
    </row>
    <row r="10" spans="1:10">
      <c r="G10" t="s">
        <v>9</v>
      </c>
      <c r="H10" t="s">
        <v>1656</v>
      </c>
      <c r="I10" t="s">
        <v>18</v>
      </c>
      <c r="J10" t="s">
        <v>19</v>
      </c>
    </row>
    <row r="11" spans="1:10">
      <c r="G11" t="s">
        <v>10</v>
      </c>
      <c r="H11" t="s">
        <v>11</v>
      </c>
      <c r="I11" t="s">
        <v>17</v>
      </c>
      <c r="J11" t="s">
        <v>29</v>
      </c>
    </row>
    <row r="12" spans="1:10">
      <c r="G12" t="s">
        <v>20</v>
      </c>
      <c r="H12" t="s">
        <v>26</v>
      </c>
      <c r="I12" t="s">
        <v>18</v>
      </c>
      <c r="J12" t="s">
        <v>19</v>
      </c>
    </row>
    <row r="13" spans="1:10">
      <c r="G13" t="s">
        <v>21</v>
      </c>
      <c r="H13" t="s">
        <v>30</v>
      </c>
      <c r="I13" t="s">
        <v>18</v>
      </c>
      <c r="J13" t="s">
        <v>19</v>
      </c>
    </row>
    <row r="14" spans="1:10">
      <c r="G14" t="s">
        <v>22</v>
      </c>
      <c r="H14" t="s">
        <v>23</v>
      </c>
      <c r="I14" t="s">
        <v>17</v>
      </c>
      <c r="J14" t="s">
        <v>29</v>
      </c>
    </row>
    <row r="15" spans="1:10">
      <c r="G15" t="s">
        <v>24</v>
      </c>
      <c r="H15" t="s">
        <v>25</v>
      </c>
      <c r="I15" t="s">
        <v>18</v>
      </c>
      <c r="J15" t="s">
        <v>19</v>
      </c>
    </row>
  </sheetData>
  <phoneticPr fontId="1" type="noConversion"/>
  <dataValidations count="1">
    <dataValidation type="list" allowBlank="1" showInputMessage="1" showErrorMessage="1" sqref="A3 A2" xr:uid="{1F9FF61D-9F66-41AE-9C45-CC8238B0A71C}">
      <formula1>G2:G50</formula1>
    </dataValidation>
  </dataValidations>
  <hyperlinks>
    <hyperlink ref="A1" location="Contents!A1" display="Back to Contents" xr:uid="{65B62D28-A0B0-4356-BA31-4A931080B5EF}"/>
  </hyperlink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1027" r:id="rId4" name="CommandButtonTrack">
          <controlPr defaultSize="0" autoLine="0" autoPict="0" r:id="rId5">
            <anchor moveWithCells="1">
              <from>
                <xdr:col>3</xdr:col>
                <xdr:colOff>0</xdr:colOff>
                <xdr:row>2</xdr:row>
                <xdr:rowOff>0</xdr:rowOff>
              </from>
              <to>
                <xdr:col>4</xdr:col>
                <xdr:colOff>0</xdr:colOff>
                <xdr:row>3</xdr:row>
                <xdr:rowOff>0</xdr:rowOff>
              </to>
            </anchor>
          </controlPr>
        </control>
      </mc:Choice>
      <mc:Fallback>
        <control shapeId="1027" r:id="rId4" name="CommandButtonTrack"/>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C7261-830C-4134-BA64-B6353EFD7F37}">
  <sheetPr codeName="Sheet5">
    <tabColor theme="9" tint="0.39997558519241921"/>
  </sheetPr>
  <dimension ref="A1:AR17"/>
  <sheetViews>
    <sheetView tabSelected="1" workbookViewId="0">
      <selection activeCell="F10" sqref="F10"/>
    </sheetView>
  </sheetViews>
  <sheetFormatPr defaultRowHeight="14.4"/>
  <cols>
    <col min="1" max="1" width="7.77734375" bestFit="1" customWidth="1"/>
    <col min="2" max="4" width="12.44140625" bestFit="1" customWidth="1"/>
    <col min="5" max="5" width="11.44140625" customWidth="1"/>
    <col min="6" max="6" width="6.44140625" bestFit="1" customWidth="1"/>
    <col min="7" max="8" width="7.33203125" customWidth="1"/>
    <col min="9" max="22" width="6.21875" customWidth="1"/>
    <col min="24" max="24" width="8.88671875" customWidth="1"/>
    <col min="30" max="30" width="9.33203125" customWidth="1"/>
  </cols>
  <sheetData>
    <row r="1" spans="1:44">
      <c r="A1" s="41" t="s">
        <v>1978</v>
      </c>
      <c r="B1" s="41"/>
    </row>
    <row r="3" spans="1:44">
      <c r="A3" s="42" t="s">
        <v>2124</v>
      </c>
      <c r="B3" s="42"/>
      <c r="C3" s="42"/>
      <c r="D3" s="42"/>
      <c r="E3" s="42"/>
      <c r="G3" s="42" t="s">
        <v>2127</v>
      </c>
      <c r="H3" s="42"/>
      <c r="I3" s="42"/>
      <c r="J3" s="42"/>
      <c r="X3" t="s">
        <v>2139</v>
      </c>
      <c r="Y3" t="s">
        <v>2140</v>
      </c>
      <c r="Z3" t="s">
        <v>2141</v>
      </c>
      <c r="AA3" t="s">
        <v>2142</v>
      </c>
      <c r="AB3" t="s">
        <v>2143</v>
      </c>
      <c r="AC3" t="s">
        <v>2144</v>
      </c>
      <c r="AD3" t="s">
        <v>2145</v>
      </c>
      <c r="AE3" t="s">
        <v>2146</v>
      </c>
      <c r="AF3" t="s">
        <v>2144</v>
      </c>
      <c r="AG3" t="s">
        <v>2145</v>
      </c>
      <c r="AH3" t="s">
        <v>2146</v>
      </c>
      <c r="AN3" t="s">
        <v>1996</v>
      </c>
      <c r="AO3" t="s">
        <v>1999</v>
      </c>
      <c r="AP3" t="s">
        <v>2000</v>
      </c>
      <c r="AQ3" t="s">
        <v>2001</v>
      </c>
      <c r="AR3" t="s">
        <v>1997</v>
      </c>
    </row>
    <row r="4" spans="1:44">
      <c r="A4" t="s">
        <v>1996</v>
      </c>
      <c r="B4" t="s">
        <v>2004</v>
      </c>
      <c r="C4" t="s">
        <v>2005</v>
      </c>
      <c r="D4" t="s">
        <v>2006</v>
      </c>
      <c r="E4" t="s">
        <v>2011</v>
      </c>
      <c r="G4" s="25" t="s">
        <v>2128</v>
      </c>
      <c r="H4" s="26" t="s">
        <v>2129</v>
      </c>
      <c r="I4" s="27" t="str">
        <f>IF($H$4="Metric","cm","in")</f>
        <v>cm</v>
      </c>
      <c r="J4" s="28" t="str">
        <f>IF($H$4="Metric","kg","lb")</f>
        <v>kg</v>
      </c>
      <c r="K4" s="33"/>
      <c r="L4" s="33"/>
      <c r="M4" s="33"/>
      <c r="N4" s="33"/>
      <c r="X4" s="37" t="s">
        <v>2147</v>
      </c>
      <c r="Y4" s="37"/>
      <c r="Z4" s="37"/>
      <c r="AA4" s="37" t="s">
        <v>2147</v>
      </c>
      <c r="AB4" s="37"/>
      <c r="AC4" s="37"/>
      <c r="AD4" s="37"/>
      <c r="AE4" s="37"/>
      <c r="AF4" s="37"/>
      <c r="AG4" s="37"/>
      <c r="AH4" s="37"/>
      <c r="AN4" t="s">
        <v>1992</v>
      </c>
      <c r="AO4">
        <v>589.79999999999995</v>
      </c>
      <c r="AP4">
        <v>235</v>
      </c>
      <c r="AQ4">
        <v>239</v>
      </c>
      <c r="AR4">
        <v>28330</v>
      </c>
    </row>
    <row r="5" spans="1:44">
      <c r="A5" t="s">
        <v>1992</v>
      </c>
      <c r="B5" s="29">
        <v>589.79999999999995</v>
      </c>
      <c r="C5" s="29">
        <v>235</v>
      </c>
      <c r="D5" s="29">
        <v>239</v>
      </c>
      <c r="E5" s="30">
        <v>28330</v>
      </c>
      <c r="X5" s="37" t="s">
        <v>2147</v>
      </c>
      <c r="Y5" s="37"/>
      <c r="Z5" s="37"/>
      <c r="AA5" s="37" t="s">
        <v>2147</v>
      </c>
      <c r="AB5" s="37"/>
      <c r="AC5" s="37"/>
      <c r="AD5" s="37"/>
      <c r="AE5" s="37"/>
      <c r="AF5" s="37"/>
      <c r="AG5" s="37"/>
      <c r="AH5" s="37"/>
      <c r="AN5" t="s">
        <v>1993</v>
      </c>
      <c r="AO5">
        <v>1203.2</v>
      </c>
      <c r="AP5">
        <v>235</v>
      </c>
      <c r="AQ5">
        <v>239</v>
      </c>
      <c r="AR5">
        <v>26840</v>
      </c>
    </row>
    <row r="6" spans="1:44">
      <c r="A6" t="s">
        <v>1991</v>
      </c>
      <c r="B6" s="29">
        <v>1203.2</v>
      </c>
      <c r="C6" s="29">
        <v>235</v>
      </c>
      <c r="D6" s="29">
        <v>269.5</v>
      </c>
      <c r="E6" s="30">
        <v>28800</v>
      </c>
      <c r="AN6" t="s">
        <v>1991</v>
      </c>
      <c r="AO6">
        <v>1203.2</v>
      </c>
      <c r="AP6">
        <v>235</v>
      </c>
      <c r="AQ6">
        <v>269.5</v>
      </c>
      <c r="AR6">
        <v>28800</v>
      </c>
    </row>
    <row r="7" spans="1:44">
      <c r="B7" s="29"/>
      <c r="C7" s="29"/>
      <c r="D7" s="29"/>
      <c r="E7" s="30"/>
      <c r="AN7" t="s">
        <v>1994</v>
      </c>
      <c r="AO7">
        <v>1355.6</v>
      </c>
      <c r="AP7">
        <v>235.2</v>
      </c>
      <c r="AQ7">
        <v>269.7</v>
      </c>
      <c r="AR7">
        <v>27850</v>
      </c>
    </row>
    <row r="8" spans="1:44">
      <c r="B8" s="29"/>
      <c r="C8" s="29"/>
      <c r="D8" s="29"/>
      <c r="E8" s="30"/>
      <c r="AN8" t="s">
        <v>1995</v>
      </c>
      <c r="AO8">
        <v>1159</v>
      </c>
      <c r="AP8">
        <v>228.4</v>
      </c>
      <c r="AQ8">
        <v>254.4</v>
      </c>
      <c r="AR8">
        <v>30510</v>
      </c>
    </row>
    <row r="9" spans="1:44">
      <c r="B9" s="29"/>
      <c r="C9" s="29"/>
      <c r="D9" s="29"/>
      <c r="E9" s="30"/>
    </row>
    <row r="11" spans="1:44">
      <c r="A11" s="42" t="s">
        <v>2003</v>
      </c>
      <c r="B11" s="42"/>
      <c r="C11" s="42"/>
    </row>
    <row r="12" spans="1:44" s="11" customFormat="1" ht="43.2">
      <c r="A12" s="12" t="s">
        <v>2126</v>
      </c>
      <c r="B12" s="12" t="s">
        <v>2004</v>
      </c>
      <c r="C12" s="12" t="s">
        <v>2005</v>
      </c>
      <c r="D12" s="12" t="s">
        <v>2006</v>
      </c>
      <c r="E12" s="12" t="s">
        <v>2007</v>
      </c>
      <c r="F12" s="12" t="s">
        <v>2008</v>
      </c>
      <c r="G12" s="12" t="s">
        <v>1998</v>
      </c>
      <c r="H12" s="12" t="s">
        <v>2009</v>
      </c>
      <c r="I12" s="12" t="s">
        <v>2010</v>
      </c>
      <c r="J12" s="36" t="s">
        <v>2123</v>
      </c>
      <c r="K12" s="36" t="s">
        <v>2148</v>
      </c>
      <c r="L12" s="36" t="s">
        <v>2149</v>
      </c>
      <c r="M12" s="36" t="s">
        <v>2150</v>
      </c>
      <c r="N12" s="36" t="s">
        <v>2130</v>
      </c>
      <c r="O12" s="36" t="s">
        <v>2131</v>
      </c>
      <c r="P12" s="36" t="s">
        <v>2136</v>
      </c>
      <c r="Q12" s="36" t="s">
        <v>2137</v>
      </c>
      <c r="R12" s="36" t="s">
        <v>2138</v>
      </c>
      <c r="S12" s="36" t="s">
        <v>2132</v>
      </c>
      <c r="T12" s="36" t="s">
        <v>2133</v>
      </c>
      <c r="U12" s="36" t="s">
        <v>2135</v>
      </c>
      <c r="V12" s="36" t="s">
        <v>2134</v>
      </c>
    </row>
    <row r="13" spans="1:44">
      <c r="A13" s="23">
        <v>1</v>
      </c>
      <c r="B13" s="31">
        <v>99.998200014399927</v>
      </c>
      <c r="C13" s="31">
        <v>99.998200014399927</v>
      </c>
      <c r="D13" s="31">
        <v>99.998200014399927</v>
      </c>
      <c r="E13" s="32">
        <v>100.15416379136023</v>
      </c>
      <c r="F13" s="24">
        <v>2</v>
      </c>
      <c r="G13" s="23" t="s">
        <v>1989</v>
      </c>
      <c r="H13" s="23" t="s">
        <v>1989</v>
      </c>
      <c r="I13" s="23" t="s">
        <v>1990</v>
      </c>
      <c r="J13" s="39"/>
      <c r="K13" s="24"/>
      <c r="L13" s="24"/>
      <c r="M13" s="24"/>
      <c r="N13" s="23"/>
      <c r="O13" s="23"/>
      <c r="P13" s="23"/>
      <c r="Q13" s="23"/>
      <c r="R13" s="23"/>
      <c r="S13" s="23"/>
      <c r="T13" s="23"/>
      <c r="U13" s="23"/>
      <c r="V13" s="35">
        <v>100.15957226764101</v>
      </c>
    </row>
    <row r="14" spans="1:44">
      <c r="A14" s="23">
        <v>2</v>
      </c>
      <c r="B14" s="31">
        <v>29.999460004319982</v>
      </c>
      <c r="C14" s="31">
        <v>29.999460004319982</v>
      </c>
      <c r="D14" s="31">
        <v>29.999460004319982</v>
      </c>
      <c r="E14" s="32">
        <v>30.046249137408072</v>
      </c>
      <c r="F14" s="24">
        <v>3</v>
      </c>
      <c r="G14" s="23" t="s">
        <v>2002</v>
      </c>
      <c r="H14" s="23" t="s">
        <v>1989</v>
      </c>
      <c r="I14" s="23" t="s">
        <v>1990</v>
      </c>
      <c r="J14" s="40"/>
      <c r="K14" s="24"/>
      <c r="L14" s="24"/>
      <c r="M14" s="24"/>
      <c r="N14" s="23"/>
      <c r="O14" s="23"/>
      <c r="P14" s="23"/>
      <c r="Q14" s="23"/>
      <c r="R14" s="23"/>
      <c r="S14" s="23"/>
      <c r="T14" s="23"/>
      <c r="U14" s="23"/>
      <c r="V14" s="35">
        <v>1112.8841363071219</v>
      </c>
    </row>
    <row r="15" spans="1:44">
      <c r="A15" s="23">
        <v>3</v>
      </c>
      <c r="B15" s="31">
        <v>50</v>
      </c>
      <c r="C15" s="31">
        <v>49.999100007199964</v>
      </c>
      <c r="D15" s="31">
        <v>49.999100007199964</v>
      </c>
      <c r="E15" s="32">
        <v>120.18499654963229</v>
      </c>
      <c r="F15" s="24">
        <v>2</v>
      </c>
      <c r="G15" s="23" t="s">
        <v>2002</v>
      </c>
      <c r="H15" s="23" t="s">
        <v>1989</v>
      </c>
      <c r="I15" s="23" t="s">
        <v>1990</v>
      </c>
      <c r="J15" s="38"/>
      <c r="K15" s="24"/>
      <c r="L15" s="24"/>
      <c r="M15" s="24"/>
      <c r="N15" s="23"/>
      <c r="O15" s="23"/>
      <c r="P15" s="23"/>
      <c r="Q15" s="23"/>
      <c r="R15" s="23"/>
      <c r="S15" s="23"/>
      <c r="T15" s="23"/>
      <c r="U15" s="23"/>
      <c r="V15" s="35">
        <v>961.51458633372579</v>
      </c>
    </row>
    <row r="16" spans="1:44">
      <c r="A16" s="23"/>
      <c r="B16" s="31"/>
      <c r="C16" s="31"/>
      <c r="D16" s="31"/>
      <c r="E16" s="32"/>
      <c r="F16" s="24"/>
      <c r="G16" s="23"/>
      <c r="H16" s="23"/>
      <c r="I16" s="23"/>
      <c r="J16" s="24"/>
      <c r="K16" s="24"/>
      <c r="L16" s="24"/>
      <c r="M16" s="24"/>
      <c r="N16" s="23"/>
      <c r="O16" s="23"/>
      <c r="P16" s="23"/>
      <c r="Q16" s="23"/>
      <c r="R16" s="23"/>
      <c r="S16" s="23"/>
      <c r="T16" s="23"/>
      <c r="U16" s="23"/>
      <c r="V16" s="34" t="str">
        <f>IFERROR(Cargo_Spec[[#This Row],[Weight]]/(Cargo_Spec[[#This Row],[Length]]*Cargo_Spec[[#This Row],[Width]]*Cargo_Spec[[#This Row],[Height]]*0.000001),"")</f>
        <v/>
      </c>
    </row>
    <row r="17" spans="1:22">
      <c r="A17" s="23"/>
      <c r="B17" s="31"/>
      <c r="C17" s="31"/>
      <c r="D17" s="31"/>
      <c r="E17" s="32"/>
      <c r="F17" s="24"/>
      <c r="G17" s="23"/>
      <c r="H17" s="23"/>
      <c r="I17" s="23"/>
      <c r="J17" s="24"/>
      <c r="K17" s="24"/>
      <c r="L17" s="24"/>
      <c r="M17" s="24"/>
      <c r="N17" s="23"/>
      <c r="O17" s="23"/>
      <c r="P17" s="23"/>
      <c r="Q17" s="23"/>
      <c r="R17" s="23"/>
      <c r="S17" s="23"/>
      <c r="T17" s="23"/>
      <c r="U17" s="23"/>
      <c r="V17" s="34" t="str">
        <f>IFERROR(Cargo_Spec[[#This Row],[Weight]]/(Cargo_Spec[[#This Row],[Length]]*Cargo_Spec[[#This Row],[Width]]*Cargo_Spec[[#This Row],[Height]]*0.000001),"")</f>
        <v/>
      </c>
    </row>
  </sheetData>
  <dataConsolidate/>
  <mergeCells count="4">
    <mergeCell ref="A1:B1"/>
    <mergeCell ref="A11:C11"/>
    <mergeCell ref="A3:E3"/>
    <mergeCell ref="G3:J3"/>
  </mergeCells>
  <phoneticPr fontId="9" type="noConversion"/>
  <dataValidations count="31">
    <dataValidation type="list" allowBlank="1" showInputMessage="1" showErrorMessage="1" sqref="A5:A9" xr:uid="{D036FD07-1BB0-4E2A-A547-98A277CDBA5E}">
      <formula1>INDIRECT("CTNR_Spec[CTNR]")</formula1>
    </dataValidation>
    <dataValidation type="list" allowBlank="1" showInputMessage="1" showErrorMessage="1" sqref="G13:H17" xr:uid="{D6D49610-6CCD-4D37-A593-9645C285D414}">
      <formula1>"Yes,No"</formula1>
    </dataValidation>
    <dataValidation type="list" allowBlank="1" showInputMessage="1" showErrorMessage="1" sqref="I13:I17" xr:uid="{32708829-D97F-4377-B637-0DFF2DCE9685}">
      <formula1>"X,XY,XYZ,YZ,XZ,Y,Z"</formula1>
    </dataValidation>
    <dataValidation type="list" allowBlank="1" showInputMessage="1" showErrorMessage="1" sqref="H4" xr:uid="{7D34DD04-C19D-4D2D-BEC3-0F37D0248CDF}">
      <formula1>"Metric,Imperial"</formula1>
    </dataValidation>
    <dataValidation type="list" allowBlank="1" showInputMessage="1" showErrorMessage="1" sqref="N13:N17" xr:uid="{A290F883-2127-4BC4-9A46-7D77CFAE0A0D}">
      <formula1>"Cuboid,Cylinder,Cone,Irregular"</formula1>
    </dataValidation>
    <dataValidation type="list" allowBlank="1" showInputMessage="1" showErrorMessage="1" sqref="T13:T17" xr:uid="{59FB275B-3BFB-436E-BB89-BE572135F40C}">
      <formula1>"A,B,C,D,E,F,G,H"</formula1>
    </dataValidation>
    <dataValidation type="list" allowBlank="1" showInputMessage="1" showErrorMessage="1" sqref="U13:U17" xr:uid="{AE01DBF8-6239-4056-8ED7-E29A99140C70}">
      <formula1>"1,2,3,4,5,6,7,8,9,10"</formula1>
    </dataValidation>
    <dataValidation type="list" allowBlank="1" showInputMessage="1" showErrorMessage="1" sqref="O13:O17" xr:uid="{C9ACB05F-8C15-41CB-9626-FC3514FC8E74}">
      <formula1>"Low,Moderate,High,Extreme"</formula1>
    </dataValidation>
    <dataValidation type="list" allowBlank="1" showInputMessage="1" showErrorMessage="1" sqref="S13:S17" xr:uid="{790EF136-BB5F-4D8A-BB75-1E123229EBDA}">
      <formula1>"Shock,Vibration,Temperature,Humidity"</formula1>
    </dataValidation>
    <dataValidation allowBlank="1" showInputMessage="1" showErrorMessage="1" promptTitle="String" prompt="Unique identifier or name for the cargo item (e.g., &quot;Box_001&quot;, &quot;Glassware&quot;)." sqref="A12" xr:uid="{04E5B266-511F-42FB-9C26-A5A14BAE030E}"/>
    <dataValidation allowBlank="1" showInputMessage="1" showErrorMessage="1" promptTitle="Numeric (Double)" prompt="Primary dimension of the cargo (length), unit dependent on system (cm for Metric, in for Imperial)." sqref="B12" xr:uid="{8B3F90A7-CFB8-4DBC-9158-21B78009189D}"/>
    <dataValidation allowBlank="1" showInputMessage="1" showErrorMessage="1" promptTitle="Numeric (Double)" prompt="Secondary dimension of the cargo (width), unit consistent with Length." sqref="C12" xr:uid="{8A83470C-FC6E-45E5-8537-F1FC379A96E5}"/>
    <dataValidation allowBlank="1" showInputMessage="1" showErrorMessage="1" promptTitle="Numeric (Double)" prompt="Tertiary dimension of the cargo (height), unit consistent with Length." sqref="D12" xr:uid="{11A60FB0-CE0A-45CE-B006-ED27EFD51413}"/>
    <dataValidation allowBlank="1" showInputMessage="1" showErrorMessage="1" promptTitle="Numeric (Double)" prompt="Weight of a single cargo item (kg for Metric, lb for Imperial)." sqref="E12" xr:uid="{B9A868FA-E54A-441F-B4C4-C6C04790F954}"/>
    <dataValidation allowBlank="1" showInputMessage="1" showErrorMessage="1" promptTitle="Integer (Long)" prompt="Number of identical items of this cargo to be packed." sqref="F12" xr:uid="{AB7E384E-37D2-4AB2-88DE-0AA785719A09}"/>
    <dataValidation allowBlank="1" showInputMessage="1" showErrorMessage="1" promptTitle="Boolean (True/False)" prompt="Indicates if the cargo can be stacked on top of other items (True/False)." sqref="G12" xr:uid="{54976EA4-2566-446A-9FDB-AC48EF99ABA6}"/>
    <dataValidation allowBlank="1" showInputMessage="1" showErrorMessage="1" promptTitle="Integer (Long)" prompt="Maximum number of layers this cargo can be stacked (1 = non-stackable, &gt;1 = allowed layers)." sqref="K12" xr:uid="{33A7CF14-0202-4A6B-9E51-447BE3CB333C}"/>
    <dataValidation allowBlank="1" showInputMessage="1" showErrorMessage="1" promptTitle="Numeric (Double)" prompt="Maximum weight (kg/lb) the cargo can support from stacked items above it." sqref="L12" xr:uid="{7BD1C8FD-94FE-4BD3-AED5-DE1F68C5BAC2}"/>
    <dataValidation allowBlank="1" showInputMessage="1" showErrorMessage="1" promptTitle="Boolean (True/False)" prompt="Indicates if the cargo can be rotated to fit different orientations (True/False)." sqref="H12" xr:uid="{6DFF94DA-387C-480C-8055-0460D3B1E237}"/>
    <dataValidation allowBlank="1" showInputMessage="1" showErrorMessage="1" promptTitle="String" prompt="Specifies allowed rotation axes (X, Y, Z) for orientation optimization (e.g., &quot;XY&quot; allows rotation on X and Y axes)." sqref="I12" xr:uid="{C222AD80-27D1-4581-B82C-1E604C0157E5}"/>
    <dataValidation allowBlank="1" showInputMessage="1" showErrorMessage="1" promptTitle="Boolean (True/False)" prompt="Indicates if the cargo can be inverted (flipped vertically, the opposite of top/bottom)." sqref="M12" xr:uid="{1EEC8E18-28BA-4795-ACA4-5898A42CB3DF}"/>
    <dataValidation allowBlank="1" showInputMessage="1" showErrorMessage="1" promptTitle="Integer (Long)" prompt="Unique color identifier (RGB value or Excel ColorIndex) for visual differentiation in packing results." sqref="J12" xr:uid="{B3A2C323-181A-4B88-AF55-592527993918}"/>
    <dataValidation allowBlank="1" showInputMessage="1" showErrorMessage="1" promptTitle="String" prompt="Physical shape of the cargo (e.g., &quot;Cuboid&quot;, &quot;Cylinder&quot;, &quot;Irregular&quot;)." sqref="N12" xr:uid="{CAB5E6FA-8F06-4B83-8C13-7885FCA83ADB}"/>
    <dataValidation allowBlank="1" showInputMessage="1" showErrorMessage="1" promptTitle="String/Enum" prompt="Degree of fragility (e.g., &quot;High&quot;, &quot;Medium&quot;, &quot;Low&quot;) to prioritize careful handling." sqref="O12" xr:uid="{A5C96202-C0A5-4D84-B60E-CF25DF601B23}"/>
    <dataValidation allowBlank="1" showInputMessage="1" showErrorMessage="1" promptTitle="Numeric (Double)" prompt="Proportion of the center of gravity position along the length (0 to 1, 0 = start, 1 = end)." sqref="P12" xr:uid="{A407CE70-5C22-4BC6-8B44-5A6CBD4EBC80}"/>
    <dataValidation allowBlank="1" showInputMessage="1" showErrorMessage="1" promptTitle="Numeric (Double)" prompt="Proportion of the center of gravity position along the width (0 to 1)." sqref="Q12" xr:uid="{6E7A9EE8-3800-4E66-9DE0-019CD0718421}"/>
    <dataValidation allowBlank="1" showInputMessage="1" showErrorMessage="1" promptTitle="Numeric (Double)" prompt="Proportion of the center of gravity position along the height (0 to 1, 0 = bottom, 1 = top)." sqref="R12" xr:uid="{4ED1F9C3-CAE9-499B-9928-691A1581EF9C}"/>
    <dataValidation allowBlank="1" showInputMessage="1" showErrorMessage="1" promptTitle="String" prompt="Specific handling instructions (e.g., &quot;Keep Upright&quot;, &quot;Waterproof&quot;)." sqref="S12" xr:uid="{3F000BAC-CE38-451B-9829-57601915A0B3}"/>
    <dataValidation allowBlank="1" showInputMessage="1" showErrorMessage="1" promptTitle="String" prompt="Identifier for cargo groups that must be packed together or kept separate (e.g., &quot;Hazardous_GroupA&quot;)." sqref="T12" xr:uid="{85C06DBC-C81D-4E0E-8B45-DEB42AF568EF}"/>
    <dataValidation allowBlank="1" showInputMessage="1" showErrorMessage="1" promptTitle="Integer (Long)" prompt="Packing priority (lower number = higher priority, e.g., 1 = pack first)." sqref="U12" xr:uid="{9174F228-A22D-4879-A1F1-0E9F288AE15B}"/>
    <dataValidation allowBlank="1" showInputMessage="1" showErrorMessage="1" promptTitle="Numeric (Double)" prompt="Density calculated as weight divided by volume (kg/m³ or lb/ft³) for space optimization." sqref="V12" xr:uid="{5AFF7941-1C19-42B4-BE4A-988219801C2D}"/>
  </dataValidations>
  <hyperlinks>
    <hyperlink ref="A1" location="Contents!A1" display="Back to Contents" xr:uid="{93FB95C9-F358-4C71-9F80-41067DEC3371}"/>
  </hyperlinks>
  <pageMargins left="0.7" right="0.7" top="0.75" bottom="0.75" header="0.3" footer="0.3"/>
  <pageSetup paperSize="9" orientation="portrait" horizontalDpi="0" verticalDpi="0" r:id="rId1"/>
  <legacy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794B9-595D-4934-A573-2AD6D1EE125C}">
  <sheetPr codeName="Sheet6">
    <tabColor theme="7" tint="0.39997558519241921"/>
  </sheetPr>
  <dimension ref="A1:AC347"/>
  <sheetViews>
    <sheetView topLeftCell="A51" workbookViewId="0">
      <selection activeCell="R67" sqref="R67"/>
    </sheetView>
  </sheetViews>
  <sheetFormatPr defaultRowHeight="14.4"/>
  <cols>
    <col min="8" max="8" width="4.77734375" customWidth="1"/>
    <col min="17" max="17" width="12.5546875" bestFit="1" customWidth="1"/>
    <col min="18" max="18" width="12" bestFit="1" customWidth="1"/>
    <col min="19" max="19" width="15.77734375" bestFit="1" customWidth="1"/>
    <col min="20" max="20" width="8.33203125" bestFit="1" customWidth="1"/>
    <col min="21" max="21" width="15.109375" bestFit="1" customWidth="1"/>
    <col min="22" max="22" width="16.6640625" bestFit="1" customWidth="1"/>
  </cols>
  <sheetData>
    <row r="1" spans="1:29">
      <c r="A1" s="41" t="s">
        <v>1978</v>
      </c>
      <c r="B1" s="41"/>
    </row>
    <row r="3" spans="1:29">
      <c r="A3" s="42" t="s">
        <v>2120</v>
      </c>
      <c r="B3" s="42"/>
      <c r="C3" s="42"/>
      <c r="D3" s="42"/>
      <c r="E3" s="42"/>
    </row>
    <row r="4" spans="1:29" ht="15" thickBot="1">
      <c r="A4" s="21" t="s">
        <v>2012</v>
      </c>
      <c r="B4" s="21" t="s">
        <v>2008</v>
      </c>
      <c r="C4" s="44" t="s">
        <v>2036</v>
      </c>
      <c r="D4" s="45"/>
      <c r="E4" s="22" t="s">
        <v>2121</v>
      </c>
      <c r="F4" s="43" t="s">
        <v>2125</v>
      </c>
      <c r="G4" s="43"/>
      <c r="I4" s="21" t="s">
        <v>2013</v>
      </c>
      <c r="Q4" t="s">
        <v>2014</v>
      </c>
      <c r="R4" t="s">
        <v>2015</v>
      </c>
      <c r="S4" t="s">
        <v>2016</v>
      </c>
      <c r="T4" t="s">
        <v>2024</v>
      </c>
      <c r="U4" t="s">
        <v>2025</v>
      </c>
      <c r="V4" t="s">
        <v>2035</v>
      </c>
      <c r="X4" s="42" t="s">
        <v>2122</v>
      </c>
      <c r="Y4" s="42"/>
      <c r="Z4" s="42"/>
      <c r="AA4" s="42"/>
      <c r="AB4" s="42"/>
      <c r="AC4" s="42"/>
    </row>
    <row r="5" spans="1:29">
      <c r="A5" s="13">
        <f ca="1">RANDBETWEEN(1,10)</f>
        <v>7</v>
      </c>
      <c r="B5" s="14"/>
      <c r="C5" s="14"/>
      <c r="D5" s="14"/>
      <c r="E5" s="14"/>
      <c r="F5" s="14"/>
      <c r="G5" s="15"/>
      <c r="I5" s="13">
        <v>3.6287389600000002</v>
      </c>
      <c r="J5" s="14"/>
      <c r="K5" s="14"/>
      <c r="L5" s="14"/>
      <c r="M5" s="14"/>
      <c r="N5" s="14"/>
      <c r="O5" s="15"/>
      <c r="Q5" t="s">
        <v>2092</v>
      </c>
      <c r="R5">
        <v>9.9999999999999995E-7</v>
      </c>
      <c r="S5" t="s">
        <v>2095</v>
      </c>
      <c r="T5">
        <v>0</v>
      </c>
      <c r="U5" t="s">
        <v>2027</v>
      </c>
      <c r="V5" t="s">
        <v>2094</v>
      </c>
      <c r="X5" t="s">
        <v>2045</v>
      </c>
      <c r="Y5">
        <v>3.6130000000000001E-5</v>
      </c>
      <c r="Z5" t="s">
        <v>2044</v>
      </c>
      <c r="AA5">
        <v>0</v>
      </c>
      <c r="AB5" t="s">
        <v>2027</v>
      </c>
      <c r="AC5" t="s">
        <v>2043</v>
      </c>
    </row>
    <row r="6" spans="1:29">
      <c r="A6" s="16">
        <v>2</v>
      </c>
      <c r="B6">
        <f ca="1">RANDBETWEEN(1,10)</f>
        <v>6</v>
      </c>
      <c r="C6">
        <f t="shared" ref="C6:F23" ca="1" si="0">RANDBETWEEN(1,10)</f>
        <v>8</v>
      </c>
      <c r="D6">
        <f t="shared" ca="1" si="0"/>
        <v>4</v>
      </c>
      <c r="E6">
        <f t="shared" ca="1" si="0"/>
        <v>5</v>
      </c>
      <c r="F6">
        <f t="shared" ca="1" si="0"/>
        <v>6</v>
      </c>
      <c r="G6" s="17"/>
      <c r="I6" s="16">
        <v>0.90718474000000004</v>
      </c>
      <c r="J6">
        <v>0.90718474000000004</v>
      </c>
      <c r="K6">
        <v>4.5359237000000006</v>
      </c>
      <c r="L6">
        <v>2.2679618500000003</v>
      </c>
      <c r="M6">
        <v>4.5359237000000006</v>
      </c>
      <c r="N6">
        <v>3.1751465900000002</v>
      </c>
      <c r="O6" s="17"/>
      <c r="Q6" t="s">
        <v>2092</v>
      </c>
      <c r="R6">
        <v>1.1E-5</v>
      </c>
      <c r="S6" t="s">
        <v>2097</v>
      </c>
      <c r="T6">
        <v>0</v>
      </c>
      <c r="U6" t="s">
        <v>2027</v>
      </c>
      <c r="V6" t="s">
        <v>2094</v>
      </c>
      <c r="X6" t="s">
        <v>2042</v>
      </c>
      <c r="Y6">
        <v>5.7870000000000003E-4</v>
      </c>
      <c r="Z6" t="s">
        <v>2044</v>
      </c>
      <c r="AA6">
        <v>0</v>
      </c>
      <c r="AB6" t="s">
        <v>2027</v>
      </c>
      <c r="AC6" t="s">
        <v>2043</v>
      </c>
    </row>
    <row r="7" spans="1:29">
      <c r="A7" s="16">
        <v>3</v>
      </c>
      <c r="B7">
        <f t="shared" ref="B7:B22" ca="1" si="1">RANDBETWEEN(1,10)</f>
        <v>2</v>
      </c>
      <c r="C7">
        <f t="shared" ca="1" si="0"/>
        <v>1</v>
      </c>
      <c r="D7">
        <f t="shared" ca="1" si="0"/>
        <v>9</v>
      </c>
      <c r="E7">
        <f t="shared" ca="1" si="0"/>
        <v>3</v>
      </c>
      <c r="F7">
        <f t="shared" ca="1" si="0"/>
        <v>3</v>
      </c>
      <c r="G7" s="17"/>
      <c r="I7" s="16">
        <v>1.3607771100000001</v>
      </c>
      <c r="J7">
        <v>0.45359237000000002</v>
      </c>
      <c r="K7">
        <v>4.0823313300000006</v>
      </c>
      <c r="L7">
        <v>2.2679618500000003</v>
      </c>
      <c r="M7">
        <v>1.8143694800000001</v>
      </c>
      <c r="N7">
        <v>1.8143694800000001</v>
      </c>
      <c r="O7" s="17"/>
      <c r="Q7" t="s">
        <v>2093</v>
      </c>
      <c r="R7">
        <v>1E-4</v>
      </c>
      <c r="S7" t="s">
        <v>2095</v>
      </c>
      <c r="T7">
        <v>0</v>
      </c>
      <c r="U7" t="s">
        <v>2027</v>
      </c>
      <c r="V7" t="s">
        <v>2094</v>
      </c>
      <c r="X7" t="s">
        <v>2045</v>
      </c>
      <c r="Y7">
        <v>1E-3</v>
      </c>
      <c r="Z7" t="s">
        <v>2046</v>
      </c>
      <c r="AA7">
        <v>0</v>
      </c>
      <c r="AB7" t="s">
        <v>2027</v>
      </c>
      <c r="AC7" t="s">
        <v>2043</v>
      </c>
    </row>
    <row r="8" spans="1:29">
      <c r="A8" s="16">
        <v>4</v>
      </c>
      <c r="B8">
        <f t="shared" ca="1" si="1"/>
        <v>1</v>
      </c>
      <c r="C8">
        <f t="shared" ca="1" si="0"/>
        <v>1</v>
      </c>
      <c r="D8">
        <f t="shared" ca="1" si="0"/>
        <v>2</v>
      </c>
      <c r="E8">
        <f t="shared" ca="1" si="0"/>
        <v>2</v>
      </c>
      <c r="F8">
        <f t="shared" ca="1" si="0"/>
        <v>1</v>
      </c>
      <c r="G8" s="17"/>
      <c r="I8" s="16">
        <v>1.8143694800000001</v>
      </c>
      <c r="J8">
        <v>2.7215542200000002</v>
      </c>
      <c r="K8">
        <v>3.6287389600000002</v>
      </c>
      <c r="L8">
        <v>4.5359237000000006</v>
      </c>
      <c r="M8">
        <v>2.2679618500000003</v>
      </c>
      <c r="N8">
        <v>2.7215542200000002</v>
      </c>
      <c r="O8" s="17"/>
      <c r="Q8" t="s">
        <v>2096</v>
      </c>
      <c r="R8">
        <v>6.4499999999999996E-4</v>
      </c>
      <c r="S8" t="s">
        <v>2095</v>
      </c>
      <c r="T8">
        <v>0</v>
      </c>
      <c r="U8" t="s">
        <v>2027</v>
      </c>
      <c r="V8" t="s">
        <v>2094</v>
      </c>
      <c r="X8" t="s">
        <v>2045</v>
      </c>
      <c r="Y8">
        <v>1.9400000000000001E-3</v>
      </c>
      <c r="Z8" t="s">
        <v>2041</v>
      </c>
      <c r="AA8">
        <v>0</v>
      </c>
      <c r="AB8" t="s">
        <v>2027</v>
      </c>
      <c r="AC8" t="s">
        <v>2043</v>
      </c>
    </row>
    <row r="9" spans="1:29">
      <c r="A9" s="16"/>
      <c r="B9">
        <f t="shared" ca="1" si="1"/>
        <v>4</v>
      </c>
      <c r="C9">
        <f t="shared" ca="1" si="0"/>
        <v>3</v>
      </c>
      <c r="D9">
        <f t="shared" ca="1" si="0"/>
        <v>4</v>
      </c>
      <c r="E9">
        <f t="shared" ca="1" si="0"/>
        <v>7</v>
      </c>
      <c r="F9">
        <f t="shared" ca="1" si="0"/>
        <v>3</v>
      </c>
      <c r="G9" s="17"/>
      <c r="I9" s="16"/>
      <c r="J9">
        <v>4.5359237000000006</v>
      </c>
      <c r="K9">
        <v>4.5359237000000006</v>
      </c>
      <c r="L9">
        <v>3.6287389600000002</v>
      </c>
      <c r="M9">
        <v>1.3607771100000001</v>
      </c>
      <c r="N9">
        <v>3.1751465900000002</v>
      </c>
      <c r="O9" s="17"/>
      <c r="Q9" t="s">
        <v>2093</v>
      </c>
      <c r="R9">
        <v>1.0759999999999999E-3</v>
      </c>
      <c r="S9" t="s">
        <v>2097</v>
      </c>
      <c r="T9">
        <v>0</v>
      </c>
      <c r="U9" t="s">
        <v>2027</v>
      </c>
      <c r="V9" t="s">
        <v>2094</v>
      </c>
      <c r="X9" t="s">
        <v>2042</v>
      </c>
      <c r="Y9">
        <v>1.602E-2</v>
      </c>
      <c r="Z9" t="s">
        <v>2046</v>
      </c>
      <c r="AA9">
        <v>0</v>
      </c>
      <c r="AB9" t="s">
        <v>2027</v>
      </c>
      <c r="AC9" t="s">
        <v>2043</v>
      </c>
    </row>
    <row r="10" spans="1:29">
      <c r="A10" s="16"/>
      <c r="B10">
        <f t="shared" ca="1" si="1"/>
        <v>3</v>
      </c>
      <c r="C10">
        <f t="shared" ca="1" si="0"/>
        <v>6</v>
      </c>
      <c r="D10">
        <f t="shared" ca="1" si="0"/>
        <v>5</v>
      </c>
      <c r="E10">
        <f t="shared" ca="1" si="0"/>
        <v>7</v>
      </c>
      <c r="F10">
        <f t="shared" ca="1" si="0"/>
        <v>7</v>
      </c>
      <c r="G10" s="17"/>
      <c r="I10" s="16"/>
      <c r="J10">
        <v>2.2679618500000003</v>
      </c>
      <c r="K10">
        <v>2.2679618500000003</v>
      </c>
      <c r="L10">
        <v>3.1751465900000002</v>
      </c>
      <c r="M10">
        <v>4.5359237000000006</v>
      </c>
      <c r="N10">
        <v>1.3607771100000001</v>
      </c>
      <c r="O10" s="17"/>
      <c r="Q10" t="s">
        <v>2092</v>
      </c>
      <c r="R10">
        <v>1.5499999999999999E-3</v>
      </c>
      <c r="S10" t="s">
        <v>2096</v>
      </c>
      <c r="T10">
        <v>0</v>
      </c>
      <c r="U10" t="s">
        <v>2027</v>
      </c>
      <c r="V10" t="s">
        <v>2094</v>
      </c>
      <c r="X10" t="s">
        <v>2041</v>
      </c>
      <c r="Y10">
        <v>1.8620000000000001E-2</v>
      </c>
      <c r="Z10" t="s">
        <v>2044</v>
      </c>
      <c r="AA10">
        <v>0</v>
      </c>
      <c r="AB10" t="s">
        <v>2027</v>
      </c>
      <c r="AC10" t="s">
        <v>2043</v>
      </c>
    </row>
    <row r="11" spans="1:29">
      <c r="A11" s="16"/>
      <c r="B11">
        <f t="shared" ca="1" si="1"/>
        <v>9</v>
      </c>
      <c r="C11">
        <f t="shared" ca="1" si="0"/>
        <v>10</v>
      </c>
      <c r="D11">
        <f t="shared" ca="1" si="0"/>
        <v>2</v>
      </c>
      <c r="E11">
        <f t="shared" ca="1" si="0"/>
        <v>4</v>
      </c>
      <c r="F11">
        <f t="shared" ca="1" si="0"/>
        <v>8</v>
      </c>
      <c r="G11" s="17"/>
      <c r="I11" s="16"/>
      <c r="J11">
        <v>2.2679618500000003</v>
      </c>
      <c r="K11">
        <v>2.2679618500000003</v>
      </c>
      <c r="L11">
        <v>1.3607771100000001</v>
      </c>
      <c r="M11">
        <v>3.6287389600000002</v>
      </c>
      <c r="N11">
        <v>0.45359237000000002</v>
      </c>
      <c r="O11" s="17"/>
      <c r="Q11" t="s">
        <v>2096</v>
      </c>
      <c r="R11">
        <v>6.9439999999999997E-3</v>
      </c>
      <c r="S11" t="s">
        <v>2097</v>
      </c>
      <c r="T11">
        <v>0</v>
      </c>
      <c r="U11" t="s">
        <v>2027</v>
      </c>
      <c r="V11" t="s">
        <v>2094</v>
      </c>
      <c r="X11" t="s">
        <v>2042</v>
      </c>
      <c r="Y11">
        <v>3.108E-2</v>
      </c>
      <c r="Z11" t="s">
        <v>2041</v>
      </c>
      <c r="AA11">
        <v>0</v>
      </c>
      <c r="AB11" t="s">
        <v>2027</v>
      </c>
      <c r="AC11" t="s">
        <v>2043</v>
      </c>
    </row>
    <row r="12" spans="1:29">
      <c r="A12" s="16"/>
      <c r="B12">
        <f t="shared" ca="1" si="1"/>
        <v>10</v>
      </c>
      <c r="C12">
        <f t="shared" ca="1" si="0"/>
        <v>10</v>
      </c>
      <c r="D12">
        <f t="shared" ca="1" si="0"/>
        <v>7</v>
      </c>
      <c r="E12">
        <f t="shared" ca="1" si="0"/>
        <v>3</v>
      </c>
      <c r="F12">
        <f t="shared" ca="1" si="0"/>
        <v>5</v>
      </c>
      <c r="G12" s="17"/>
      <c r="I12" s="16"/>
      <c r="J12">
        <v>3.6287389600000002</v>
      </c>
      <c r="K12">
        <v>4.0823313300000006</v>
      </c>
      <c r="L12">
        <v>4.0823313300000006</v>
      </c>
      <c r="M12">
        <v>2.2679618500000003</v>
      </c>
      <c r="N12">
        <v>1.3607771100000001</v>
      </c>
      <c r="O12" s="17"/>
      <c r="Q12" t="s">
        <v>2092</v>
      </c>
      <c r="R12">
        <v>0.01</v>
      </c>
      <c r="S12" t="s">
        <v>2093</v>
      </c>
      <c r="T12">
        <v>0</v>
      </c>
      <c r="U12" t="s">
        <v>2027</v>
      </c>
      <c r="V12" t="s">
        <v>2094</v>
      </c>
      <c r="X12" t="s">
        <v>2046</v>
      </c>
      <c r="Y12">
        <v>3.6130000000000002E-2</v>
      </c>
      <c r="Z12" t="s">
        <v>2044</v>
      </c>
      <c r="AA12">
        <v>0</v>
      </c>
      <c r="AB12" t="s">
        <v>2027</v>
      </c>
      <c r="AC12" t="s">
        <v>2043</v>
      </c>
    </row>
    <row r="13" spans="1:29">
      <c r="A13" s="16"/>
      <c r="B13">
        <f t="shared" ca="1" si="1"/>
        <v>1</v>
      </c>
      <c r="C13">
        <f t="shared" ca="1" si="0"/>
        <v>9</v>
      </c>
      <c r="D13">
        <f t="shared" ca="1" si="0"/>
        <v>9</v>
      </c>
      <c r="E13">
        <f t="shared" ca="1" si="0"/>
        <v>6</v>
      </c>
      <c r="F13">
        <f t="shared" ca="1" si="0"/>
        <v>2</v>
      </c>
      <c r="G13" s="17"/>
      <c r="I13" s="16"/>
      <c r="J13">
        <v>2.7215542200000002</v>
      </c>
      <c r="K13">
        <v>3.6287389600000002</v>
      </c>
      <c r="L13">
        <v>2.7215542200000002</v>
      </c>
      <c r="M13">
        <v>0.45359237000000002</v>
      </c>
      <c r="N13">
        <v>0.45359237000000002</v>
      </c>
      <c r="O13" s="17"/>
      <c r="Q13" t="s">
        <v>2097</v>
      </c>
      <c r="R13">
        <v>9.2902999999999999E-2</v>
      </c>
      <c r="S13" t="s">
        <v>2095</v>
      </c>
      <c r="T13">
        <v>0</v>
      </c>
      <c r="U13" t="s">
        <v>2027</v>
      </c>
      <c r="V13" t="s">
        <v>2094</v>
      </c>
      <c r="X13" t="s">
        <v>2045</v>
      </c>
      <c r="Y13">
        <v>6.2429999999999999E-2</v>
      </c>
      <c r="Z13" t="s">
        <v>2042</v>
      </c>
      <c r="AA13">
        <v>0</v>
      </c>
      <c r="AB13" t="s">
        <v>2027</v>
      </c>
      <c r="AC13" t="s">
        <v>2043</v>
      </c>
    </row>
    <row r="14" spans="1:29">
      <c r="A14" s="16"/>
      <c r="B14">
        <f t="shared" ca="1" si="1"/>
        <v>6</v>
      </c>
      <c r="C14">
        <f t="shared" ca="1" si="0"/>
        <v>1</v>
      </c>
      <c r="D14">
        <f t="shared" ca="1" si="0"/>
        <v>3</v>
      </c>
      <c r="E14">
        <f t="shared" ca="1" si="0"/>
        <v>1</v>
      </c>
      <c r="F14">
        <f t="shared" ca="1" si="0"/>
        <v>1</v>
      </c>
      <c r="G14" s="17"/>
      <c r="I14" s="16"/>
      <c r="J14">
        <v>1.8143694800000001</v>
      </c>
      <c r="K14">
        <v>2.2679618500000003</v>
      </c>
      <c r="L14">
        <v>0.90718474000000004</v>
      </c>
      <c r="M14">
        <v>1.3607771100000001</v>
      </c>
      <c r="N14">
        <v>1.3607771100000001</v>
      </c>
      <c r="O14" s="17"/>
      <c r="Q14" t="s">
        <v>2093</v>
      </c>
      <c r="R14">
        <v>0.155</v>
      </c>
      <c r="S14" t="s">
        <v>2096</v>
      </c>
      <c r="T14">
        <v>0</v>
      </c>
      <c r="U14" t="s">
        <v>2027</v>
      </c>
      <c r="V14" t="s">
        <v>2094</v>
      </c>
      <c r="X14" t="s">
        <v>2041</v>
      </c>
      <c r="Y14">
        <v>0.51539999999999997</v>
      </c>
      <c r="Z14" t="s">
        <v>2046</v>
      </c>
      <c r="AA14">
        <v>0</v>
      </c>
      <c r="AB14" t="s">
        <v>2027</v>
      </c>
      <c r="AC14" t="s">
        <v>2043</v>
      </c>
    </row>
    <row r="15" spans="1:29">
      <c r="A15" s="16"/>
      <c r="B15">
        <f t="shared" ca="1" si="1"/>
        <v>7</v>
      </c>
      <c r="C15">
        <f t="shared" ca="1" si="0"/>
        <v>10</v>
      </c>
      <c r="D15">
        <f t="shared" ca="1" si="0"/>
        <v>4</v>
      </c>
      <c r="E15">
        <f t="shared" ca="1" si="0"/>
        <v>4</v>
      </c>
      <c r="F15">
        <f t="shared" ca="1" si="0"/>
        <v>2</v>
      </c>
      <c r="G15" s="17"/>
      <c r="I15" s="16"/>
      <c r="J15">
        <v>1.3607771100000001</v>
      </c>
      <c r="K15">
        <v>3.1751465900000002</v>
      </c>
      <c r="L15">
        <v>2.2679618500000003</v>
      </c>
      <c r="M15">
        <v>4.5359237000000006</v>
      </c>
      <c r="N15">
        <v>1.8143694800000001</v>
      </c>
      <c r="O15" s="17"/>
      <c r="Q15" t="s">
        <v>2096</v>
      </c>
      <c r="R15">
        <v>6.4516</v>
      </c>
      <c r="S15" t="s">
        <v>2093</v>
      </c>
      <c r="T15">
        <v>0</v>
      </c>
      <c r="U15" t="s">
        <v>2027</v>
      </c>
      <c r="V15" t="s">
        <v>2094</v>
      </c>
      <c r="X15" t="s">
        <v>2046</v>
      </c>
      <c r="Y15">
        <v>1.94</v>
      </c>
      <c r="Z15" t="s">
        <v>2041</v>
      </c>
      <c r="AA15">
        <v>0</v>
      </c>
      <c r="AB15" t="s">
        <v>2027</v>
      </c>
      <c r="AC15" t="s">
        <v>2043</v>
      </c>
    </row>
    <row r="16" spans="1:29">
      <c r="A16" s="16"/>
      <c r="B16">
        <f t="shared" ca="1" si="1"/>
        <v>2</v>
      </c>
      <c r="C16">
        <f t="shared" ca="1" si="0"/>
        <v>6</v>
      </c>
      <c r="D16">
        <f t="shared" ca="1" si="0"/>
        <v>3</v>
      </c>
      <c r="E16">
        <f t="shared" ca="1" si="0"/>
        <v>3</v>
      </c>
      <c r="F16">
        <f t="shared" ca="1" si="0"/>
        <v>6</v>
      </c>
      <c r="G16" s="17"/>
      <c r="I16" s="16"/>
      <c r="J16">
        <v>3.6287389600000002</v>
      </c>
      <c r="K16">
        <v>3.1751465900000002</v>
      </c>
      <c r="L16">
        <v>3.6287389600000002</v>
      </c>
      <c r="M16">
        <v>3.6287389600000002</v>
      </c>
      <c r="N16">
        <v>0.45359237000000002</v>
      </c>
      <c r="O16" s="17"/>
      <c r="Q16" t="s">
        <v>2095</v>
      </c>
      <c r="R16">
        <v>10.763909999999999</v>
      </c>
      <c r="S16" t="s">
        <v>2097</v>
      </c>
      <c r="T16">
        <v>0</v>
      </c>
      <c r="U16" t="s">
        <v>2027</v>
      </c>
      <c r="V16" t="s">
        <v>2094</v>
      </c>
      <c r="X16" t="s">
        <v>2042</v>
      </c>
      <c r="Y16">
        <v>16.02</v>
      </c>
      <c r="Z16" t="s">
        <v>2045</v>
      </c>
      <c r="AA16">
        <v>0</v>
      </c>
      <c r="AB16" t="s">
        <v>2027</v>
      </c>
      <c r="AC16" t="s">
        <v>2043</v>
      </c>
    </row>
    <row r="17" spans="1:29">
      <c r="A17" s="16"/>
      <c r="B17">
        <f t="shared" ca="1" si="1"/>
        <v>9</v>
      </c>
      <c r="C17">
        <f t="shared" ca="1" si="0"/>
        <v>2</v>
      </c>
      <c r="D17">
        <f t="shared" ca="1" si="0"/>
        <v>9</v>
      </c>
      <c r="E17">
        <f t="shared" ca="1" si="0"/>
        <v>1</v>
      </c>
      <c r="F17">
        <f t="shared" ca="1" si="0"/>
        <v>4</v>
      </c>
      <c r="G17" s="17"/>
      <c r="I17" s="16"/>
      <c r="J17">
        <v>3.6287389600000002</v>
      </c>
      <c r="K17">
        <v>2.7215542200000002</v>
      </c>
      <c r="L17">
        <v>4.5359237000000006</v>
      </c>
      <c r="M17">
        <v>0.45359237000000002</v>
      </c>
      <c r="N17">
        <v>3.1751465900000002</v>
      </c>
      <c r="O17" s="17"/>
      <c r="Q17" t="s">
        <v>2093</v>
      </c>
      <c r="R17">
        <v>100</v>
      </c>
      <c r="S17" t="s">
        <v>2092</v>
      </c>
      <c r="T17">
        <v>0</v>
      </c>
      <c r="U17" t="s">
        <v>2027</v>
      </c>
      <c r="V17" t="s">
        <v>2094</v>
      </c>
      <c r="X17" t="s">
        <v>2044</v>
      </c>
      <c r="Y17">
        <v>27.68</v>
      </c>
      <c r="Z17" t="s">
        <v>2046</v>
      </c>
      <c r="AA17">
        <v>0</v>
      </c>
      <c r="AB17" t="s">
        <v>2027</v>
      </c>
      <c r="AC17" t="s">
        <v>2043</v>
      </c>
    </row>
    <row r="18" spans="1:29">
      <c r="A18" s="16"/>
      <c r="B18">
        <f t="shared" ca="1" si="1"/>
        <v>2</v>
      </c>
      <c r="C18">
        <f t="shared" ca="1" si="0"/>
        <v>4</v>
      </c>
      <c r="D18">
        <f t="shared" ca="1" si="0"/>
        <v>1</v>
      </c>
      <c r="E18">
        <f t="shared" ca="1" si="0"/>
        <v>1</v>
      </c>
      <c r="F18">
        <f t="shared" ca="1" si="0"/>
        <v>4</v>
      </c>
      <c r="G18" s="17"/>
      <c r="I18" s="16"/>
      <c r="J18">
        <v>0.90718474000000004</v>
      </c>
      <c r="K18">
        <v>3.1751465900000002</v>
      </c>
      <c r="L18">
        <v>2.2679618500000003</v>
      </c>
      <c r="M18">
        <v>0.90718474000000004</v>
      </c>
      <c r="N18">
        <v>2.2679618500000003</v>
      </c>
      <c r="O18" s="17"/>
      <c r="Q18" t="s">
        <v>2097</v>
      </c>
      <c r="R18">
        <v>144</v>
      </c>
      <c r="S18" t="s">
        <v>2096</v>
      </c>
      <c r="T18">
        <v>0</v>
      </c>
      <c r="U18" t="s">
        <v>2027</v>
      </c>
      <c r="V18" t="s">
        <v>2094</v>
      </c>
      <c r="X18" t="s">
        <v>2041</v>
      </c>
      <c r="Y18">
        <v>32.17</v>
      </c>
      <c r="Z18" t="s">
        <v>2042</v>
      </c>
      <c r="AA18">
        <v>0</v>
      </c>
      <c r="AB18" t="s">
        <v>2027</v>
      </c>
      <c r="AC18" t="s">
        <v>2043</v>
      </c>
    </row>
    <row r="19" spans="1:29">
      <c r="A19" s="16"/>
      <c r="B19">
        <f t="shared" ca="1" si="1"/>
        <v>2</v>
      </c>
      <c r="C19">
        <f t="shared" ca="1" si="0"/>
        <v>2</v>
      </c>
      <c r="D19">
        <f t="shared" ca="1" si="0"/>
        <v>3</v>
      </c>
      <c r="E19">
        <f t="shared" ca="1" si="0"/>
        <v>5</v>
      </c>
      <c r="F19">
        <f t="shared" ca="1" si="0"/>
        <v>1</v>
      </c>
      <c r="G19" s="17"/>
      <c r="I19" s="16"/>
      <c r="J19">
        <v>2.7215542200000002</v>
      </c>
      <c r="K19">
        <v>3.1751465900000002</v>
      </c>
      <c r="L19">
        <v>3.1751465900000002</v>
      </c>
      <c r="M19">
        <v>1.3607771100000001</v>
      </c>
      <c r="N19">
        <v>1.8143694800000001</v>
      </c>
      <c r="O19" s="17"/>
      <c r="Q19" t="s">
        <v>2096</v>
      </c>
      <c r="R19">
        <v>645.16</v>
      </c>
      <c r="S19" t="s">
        <v>2092</v>
      </c>
      <c r="T19">
        <v>0</v>
      </c>
      <c r="U19" t="s">
        <v>2027</v>
      </c>
      <c r="V19" t="s">
        <v>2094</v>
      </c>
      <c r="X19" t="s">
        <v>2044</v>
      </c>
      <c r="Y19">
        <v>53.71</v>
      </c>
      <c r="Z19" t="s">
        <v>2041</v>
      </c>
      <c r="AA19">
        <v>0</v>
      </c>
      <c r="AB19" t="s">
        <v>2027</v>
      </c>
      <c r="AC19" t="s">
        <v>2043</v>
      </c>
    </row>
    <row r="20" spans="1:29">
      <c r="A20" s="16"/>
      <c r="B20">
        <f t="shared" ca="1" si="1"/>
        <v>3</v>
      </c>
      <c r="C20">
        <f t="shared" ca="1" si="0"/>
        <v>2</v>
      </c>
      <c r="D20">
        <f t="shared" ca="1" si="0"/>
        <v>5</v>
      </c>
      <c r="E20">
        <f t="shared" ca="1" si="0"/>
        <v>4</v>
      </c>
      <c r="F20">
        <f t="shared" ca="1" si="0"/>
        <v>7</v>
      </c>
      <c r="G20" s="17"/>
      <c r="I20" s="16"/>
      <c r="J20">
        <v>3.6287389600000002</v>
      </c>
      <c r="K20">
        <v>0.45359237000000002</v>
      </c>
      <c r="L20">
        <v>2.2679618500000003</v>
      </c>
      <c r="M20">
        <v>4.5359237000000006</v>
      </c>
      <c r="N20">
        <v>0.90718474000000004</v>
      </c>
      <c r="O20" s="17"/>
      <c r="Q20" t="s">
        <v>2097</v>
      </c>
      <c r="R20">
        <v>929.03039999999999</v>
      </c>
      <c r="S20" t="s">
        <v>2093</v>
      </c>
      <c r="T20">
        <v>0</v>
      </c>
      <c r="U20" t="s">
        <v>2027</v>
      </c>
      <c r="V20" t="s">
        <v>2094</v>
      </c>
      <c r="X20" t="s">
        <v>2046</v>
      </c>
      <c r="Y20">
        <v>62.43</v>
      </c>
      <c r="Z20" t="s">
        <v>2042</v>
      </c>
      <c r="AA20">
        <v>0</v>
      </c>
      <c r="AB20" t="s">
        <v>2027</v>
      </c>
      <c r="AC20" t="s">
        <v>2043</v>
      </c>
    </row>
    <row r="21" spans="1:29">
      <c r="A21" s="16"/>
      <c r="B21">
        <f t="shared" ca="1" si="1"/>
        <v>4</v>
      </c>
      <c r="C21">
        <f t="shared" ca="1" si="0"/>
        <v>3</v>
      </c>
      <c r="D21">
        <f t="shared" ca="1" si="0"/>
        <v>2</v>
      </c>
      <c r="E21">
        <f t="shared" ca="1" si="0"/>
        <v>9</v>
      </c>
      <c r="F21">
        <f t="shared" ca="1" si="0"/>
        <v>9</v>
      </c>
      <c r="G21" s="17"/>
      <c r="I21" s="16"/>
      <c r="J21">
        <v>2.7215542200000002</v>
      </c>
      <c r="K21">
        <v>3.1751465900000002</v>
      </c>
      <c r="L21">
        <v>4.0823313300000006</v>
      </c>
      <c r="M21">
        <v>3.1751465900000002</v>
      </c>
      <c r="N21">
        <v>0.90718474000000004</v>
      </c>
      <c r="O21" s="17"/>
      <c r="Q21" t="s">
        <v>2095</v>
      </c>
      <c r="R21">
        <v>1550.0029999999999</v>
      </c>
      <c r="S21" t="s">
        <v>2096</v>
      </c>
      <c r="T21">
        <v>0</v>
      </c>
      <c r="U21" t="s">
        <v>2027</v>
      </c>
      <c r="V21" t="s">
        <v>2094</v>
      </c>
      <c r="X21" t="s">
        <v>2041</v>
      </c>
      <c r="Y21">
        <v>515.4</v>
      </c>
      <c r="Z21" t="s">
        <v>2045</v>
      </c>
      <c r="AA21">
        <v>0</v>
      </c>
      <c r="AB21" t="s">
        <v>2027</v>
      </c>
      <c r="AC21" t="s">
        <v>2043</v>
      </c>
    </row>
    <row r="22" spans="1:29">
      <c r="A22" s="16"/>
      <c r="B22">
        <f t="shared" ca="1" si="1"/>
        <v>10</v>
      </c>
      <c r="C22">
        <f t="shared" ca="1" si="0"/>
        <v>5</v>
      </c>
      <c r="D22">
        <f t="shared" ca="1" si="0"/>
        <v>7</v>
      </c>
      <c r="E22">
        <f t="shared" ca="1" si="0"/>
        <v>4</v>
      </c>
      <c r="F22">
        <f t="shared" ca="1" si="0"/>
        <v>4</v>
      </c>
      <c r="G22" s="17"/>
      <c r="I22" s="16"/>
      <c r="J22">
        <v>4.5359237000000006</v>
      </c>
      <c r="K22">
        <v>0.45359237000000002</v>
      </c>
      <c r="L22">
        <v>2.2679618500000003</v>
      </c>
      <c r="M22">
        <v>4.0823313300000006</v>
      </c>
      <c r="N22">
        <v>2.2679618500000003</v>
      </c>
      <c r="O22" s="17"/>
      <c r="Q22" t="s">
        <v>2095</v>
      </c>
      <c r="R22">
        <v>10000</v>
      </c>
      <c r="S22" t="s">
        <v>2093</v>
      </c>
      <c r="T22">
        <v>0</v>
      </c>
      <c r="U22" t="s">
        <v>2027</v>
      </c>
      <c r="V22" t="s">
        <v>2094</v>
      </c>
      <c r="X22" t="s">
        <v>2046</v>
      </c>
      <c r="Y22">
        <v>1000</v>
      </c>
      <c r="Z22" t="s">
        <v>2045</v>
      </c>
      <c r="AA22">
        <v>0</v>
      </c>
      <c r="AB22" t="s">
        <v>2027</v>
      </c>
      <c r="AC22" t="s">
        <v>2043</v>
      </c>
    </row>
    <row r="23" spans="1:29">
      <c r="A23" s="16"/>
      <c r="B23">
        <f t="shared" ref="B23" ca="1" si="2">RANDBETWEEN(1,10)</f>
        <v>9</v>
      </c>
      <c r="C23">
        <f t="shared" ca="1" si="0"/>
        <v>9</v>
      </c>
      <c r="D23">
        <f t="shared" ca="1" si="0"/>
        <v>3</v>
      </c>
      <c r="E23">
        <f t="shared" ca="1" si="0"/>
        <v>6</v>
      </c>
      <c r="F23">
        <f t="shared" ca="1" si="0"/>
        <v>7</v>
      </c>
      <c r="G23" s="17"/>
      <c r="I23" s="16"/>
      <c r="J23">
        <v>4.0823313300000006</v>
      </c>
      <c r="K23">
        <v>4.0823313300000006</v>
      </c>
      <c r="L23">
        <v>2.2679618500000003</v>
      </c>
      <c r="M23">
        <v>3.1751465900000002</v>
      </c>
      <c r="N23">
        <v>0.90718474000000004</v>
      </c>
      <c r="O23" s="17"/>
      <c r="Q23" t="s">
        <v>2097</v>
      </c>
      <c r="R23">
        <v>92903</v>
      </c>
      <c r="S23" t="s">
        <v>2092</v>
      </c>
      <c r="T23">
        <v>0</v>
      </c>
      <c r="U23" t="s">
        <v>2027</v>
      </c>
      <c r="V23" t="s">
        <v>2094</v>
      </c>
      <c r="X23" t="s">
        <v>2044</v>
      </c>
      <c r="Y23">
        <v>1728</v>
      </c>
      <c r="Z23" t="s">
        <v>2042</v>
      </c>
      <c r="AA23">
        <v>0</v>
      </c>
      <c r="AB23" t="s">
        <v>2027</v>
      </c>
      <c r="AC23" t="s">
        <v>2043</v>
      </c>
    </row>
    <row r="24" spans="1:29" ht="15" thickBot="1">
      <c r="A24" s="18"/>
      <c r="B24" s="19"/>
      <c r="C24" s="19"/>
      <c r="D24" s="19"/>
      <c r="E24" s="19"/>
      <c r="F24" s="19"/>
      <c r="G24" s="20"/>
      <c r="I24" s="18"/>
      <c r="J24" s="19"/>
      <c r="K24" s="19"/>
      <c r="L24" s="19"/>
      <c r="M24" s="19"/>
      <c r="N24" s="19"/>
      <c r="O24" s="20"/>
      <c r="Q24" t="s">
        <v>2095</v>
      </c>
      <c r="R24">
        <v>1000000</v>
      </c>
      <c r="S24" t="s">
        <v>2092</v>
      </c>
      <c r="T24">
        <v>0</v>
      </c>
      <c r="U24" t="s">
        <v>2027</v>
      </c>
      <c r="V24" t="s">
        <v>2094</v>
      </c>
      <c r="X24" t="s">
        <v>2044</v>
      </c>
      <c r="Y24">
        <v>27680</v>
      </c>
      <c r="Z24" t="s">
        <v>2045</v>
      </c>
      <c r="AA24">
        <v>0</v>
      </c>
      <c r="AB24" t="s">
        <v>2027</v>
      </c>
      <c r="AC24" t="s">
        <v>2043</v>
      </c>
    </row>
    <row r="25" spans="1:29">
      <c r="Q25" t="s">
        <v>2019</v>
      </c>
      <c r="R25">
        <v>6.2140000000000001E-6</v>
      </c>
      <c r="S25" t="s">
        <v>2030</v>
      </c>
      <c r="T25">
        <v>0</v>
      </c>
      <c r="U25" t="s">
        <v>2027</v>
      </c>
      <c r="V25" t="s">
        <v>2004</v>
      </c>
      <c r="X25" t="s">
        <v>2111</v>
      </c>
      <c r="Y25">
        <v>6.7199999999999996E-4</v>
      </c>
      <c r="Z25" t="s">
        <v>2114</v>
      </c>
      <c r="AA25">
        <v>0</v>
      </c>
      <c r="AB25" t="s">
        <v>2027</v>
      </c>
      <c r="AC25" t="s">
        <v>2113</v>
      </c>
    </row>
    <row r="26" spans="1:29">
      <c r="Q26" t="s">
        <v>2019</v>
      </c>
      <c r="R26">
        <v>1.0000000000000001E-5</v>
      </c>
      <c r="S26" t="s">
        <v>2029</v>
      </c>
      <c r="T26">
        <v>0</v>
      </c>
      <c r="U26" t="s">
        <v>2027</v>
      </c>
      <c r="V26" t="s">
        <v>2004</v>
      </c>
      <c r="X26" t="s">
        <v>2111</v>
      </c>
      <c r="Y26">
        <v>0.01</v>
      </c>
      <c r="Z26" t="s">
        <v>2112</v>
      </c>
      <c r="AA26">
        <v>0</v>
      </c>
      <c r="AB26" t="s">
        <v>2027</v>
      </c>
      <c r="AC26" t="s">
        <v>2113</v>
      </c>
    </row>
    <row r="27" spans="1:29">
      <c r="Q27" t="s">
        <v>2031</v>
      </c>
      <c r="R27">
        <v>1.5780000000000001E-5</v>
      </c>
      <c r="S27" t="s">
        <v>2030</v>
      </c>
      <c r="T27">
        <v>0</v>
      </c>
      <c r="U27" t="s">
        <v>2027</v>
      </c>
      <c r="V27" t="s">
        <v>2004</v>
      </c>
      <c r="X27" t="s">
        <v>2112</v>
      </c>
      <c r="Y27">
        <v>6.7197000000000007E-2</v>
      </c>
      <c r="Z27" t="s">
        <v>2114</v>
      </c>
      <c r="AA27">
        <v>0</v>
      </c>
      <c r="AB27" t="s">
        <v>2027</v>
      </c>
      <c r="AC27" t="s">
        <v>2113</v>
      </c>
    </row>
    <row r="28" spans="1:29">
      <c r="Q28" t="s">
        <v>2031</v>
      </c>
      <c r="R28">
        <v>2.5400000000000001E-5</v>
      </c>
      <c r="S28" t="s">
        <v>2029</v>
      </c>
      <c r="T28">
        <v>0</v>
      </c>
      <c r="U28" t="s">
        <v>2027</v>
      </c>
      <c r="V28" t="s">
        <v>2004</v>
      </c>
      <c r="X28" t="s">
        <v>2114</v>
      </c>
      <c r="Y28">
        <v>14.881600000000001</v>
      </c>
      <c r="Z28" t="s">
        <v>2112</v>
      </c>
      <c r="AA28">
        <v>0</v>
      </c>
      <c r="AB28" t="s">
        <v>2027</v>
      </c>
      <c r="AC28" t="s">
        <v>2113</v>
      </c>
    </row>
    <row r="29" spans="1:29">
      <c r="Q29" t="s">
        <v>2028</v>
      </c>
      <c r="R29">
        <v>1.894E-4</v>
      </c>
      <c r="S29" t="s">
        <v>2030</v>
      </c>
      <c r="T29">
        <v>0</v>
      </c>
      <c r="U29" t="s">
        <v>2027</v>
      </c>
      <c r="V29" t="s">
        <v>2004</v>
      </c>
      <c r="X29" t="s">
        <v>2112</v>
      </c>
      <c r="Y29">
        <v>100</v>
      </c>
      <c r="Z29" t="s">
        <v>2111</v>
      </c>
      <c r="AA29">
        <v>0</v>
      </c>
      <c r="AB29" t="s">
        <v>2027</v>
      </c>
      <c r="AC29" t="s">
        <v>2113</v>
      </c>
    </row>
    <row r="30" spans="1:29">
      <c r="Q30" t="s">
        <v>2028</v>
      </c>
      <c r="R30">
        <v>3.0479999999999998E-4</v>
      </c>
      <c r="S30" t="s">
        <v>2029</v>
      </c>
      <c r="T30">
        <v>0</v>
      </c>
      <c r="U30" t="s">
        <v>2027</v>
      </c>
      <c r="V30" t="s">
        <v>2004</v>
      </c>
      <c r="X30" t="s">
        <v>2114</v>
      </c>
      <c r="Y30">
        <v>1488.16</v>
      </c>
      <c r="Z30" t="s">
        <v>2111</v>
      </c>
      <c r="AA30">
        <v>0</v>
      </c>
      <c r="AB30" t="s">
        <v>2027</v>
      </c>
      <c r="AC30" t="s">
        <v>2113</v>
      </c>
    </row>
    <row r="31" spans="1:29">
      <c r="Q31" t="s">
        <v>2017</v>
      </c>
      <c r="R31">
        <v>6.2140000000000003E-4</v>
      </c>
      <c r="S31" t="s">
        <v>2030</v>
      </c>
      <c r="T31">
        <v>0</v>
      </c>
      <c r="U31" t="s">
        <v>2027</v>
      </c>
      <c r="V31" t="s">
        <v>2004</v>
      </c>
      <c r="X31" t="s">
        <v>2071</v>
      </c>
      <c r="Y31">
        <v>2.7780000000000002E-15</v>
      </c>
      <c r="Z31" t="s">
        <v>2077</v>
      </c>
      <c r="AA31">
        <v>0</v>
      </c>
      <c r="AB31" t="s">
        <v>2027</v>
      </c>
      <c r="AC31" t="s">
        <v>2072</v>
      </c>
    </row>
    <row r="32" spans="1:29">
      <c r="Q32" t="s">
        <v>2017</v>
      </c>
      <c r="R32">
        <v>1E-3</v>
      </c>
      <c r="S32" t="s">
        <v>2029</v>
      </c>
      <c r="T32">
        <v>0</v>
      </c>
      <c r="U32" t="s">
        <v>2027</v>
      </c>
      <c r="V32" t="s">
        <v>2004</v>
      </c>
      <c r="X32" t="s">
        <v>2071</v>
      </c>
      <c r="Y32">
        <v>3.7250000000000004E-15</v>
      </c>
      <c r="Z32" t="s">
        <v>2074</v>
      </c>
      <c r="AA32">
        <v>0</v>
      </c>
      <c r="AB32" t="s">
        <v>2027</v>
      </c>
      <c r="AC32" t="s">
        <v>2072</v>
      </c>
    </row>
    <row r="33" spans="17:29">
      <c r="Q33" t="s">
        <v>2018</v>
      </c>
      <c r="R33">
        <v>3.2808399000000001E-3</v>
      </c>
      <c r="S33" t="s">
        <v>2028</v>
      </c>
      <c r="T33">
        <v>0</v>
      </c>
      <c r="U33" t="s">
        <v>2027</v>
      </c>
      <c r="V33" t="s">
        <v>2004</v>
      </c>
      <c r="X33" t="s">
        <v>2071</v>
      </c>
      <c r="Y33">
        <v>2.3890000000000001E-11</v>
      </c>
      <c r="Z33" t="s">
        <v>2076</v>
      </c>
      <c r="AA33">
        <v>0</v>
      </c>
      <c r="AB33" t="s">
        <v>2027</v>
      </c>
      <c r="AC33" t="s">
        <v>2072</v>
      </c>
    </row>
    <row r="34" spans="17:29">
      <c r="Q34" t="s">
        <v>2019</v>
      </c>
      <c r="R34">
        <v>0.01</v>
      </c>
      <c r="S34" t="s">
        <v>2017</v>
      </c>
      <c r="T34">
        <v>0</v>
      </c>
      <c r="U34" t="s">
        <v>2027</v>
      </c>
      <c r="V34" t="s">
        <v>2004</v>
      </c>
      <c r="X34" t="s">
        <v>2071</v>
      </c>
      <c r="Y34">
        <v>7.3759999999999999E-11</v>
      </c>
      <c r="Z34" t="s">
        <v>2073</v>
      </c>
      <c r="AA34">
        <v>0</v>
      </c>
      <c r="AB34" t="s">
        <v>2027</v>
      </c>
      <c r="AC34" t="s">
        <v>2072</v>
      </c>
    </row>
    <row r="35" spans="17:29">
      <c r="Q35" t="s">
        <v>2031</v>
      </c>
      <c r="R35">
        <v>2.5399999999999999E-2</v>
      </c>
      <c r="S35" t="s">
        <v>2017</v>
      </c>
      <c r="T35">
        <v>0</v>
      </c>
      <c r="U35" t="s">
        <v>2027</v>
      </c>
      <c r="V35" t="s">
        <v>2004</v>
      </c>
      <c r="X35" t="s">
        <v>2071</v>
      </c>
      <c r="Y35">
        <v>9.4809999999999994E-11</v>
      </c>
      <c r="Z35" t="s">
        <v>2070</v>
      </c>
      <c r="AA35">
        <v>0</v>
      </c>
      <c r="AB35" t="s">
        <v>2027</v>
      </c>
      <c r="AC35" t="s">
        <v>2072</v>
      </c>
    </row>
    <row r="36" spans="17:29">
      <c r="Q36" t="s">
        <v>2019</v>
      </c>
      <c r="R36">
        <v>3.2809999999999999E-2</v>
      </c>
      <c r="S36" t="s">
        <v>2028</v>
      </c>
      <c r="T36">
        <v>0</v>
      </c>
      <c r="U36" t="s">
        <v>2027</v>
      </c>
      <c r="V36" t="s">
        <v>2004</v>
      </c>
      <c r="X36" t="s">
        <v>2071</v>
      </c>
      <c r="Y36">
        <v>9.9999999999999995E-8</v>
      </c>
      <c r="Z36" t="s">
        <v>2075</v>
      </c>
      <c r="AA36">
        <v>0</v>
      </c>
      <c r="AB36" t="s">
        <v>2027</v>
      </c>
      <c r="AC36" t="s">
        <v>2072</v>
      </c>
    </row>
    <row r="37" spans="17:29">
      <c r="Q37" t="s">
        <v>2018</v>
      </c>
      <c r="R37">
        <v>3.9370078699999998E-2</v>
      </c>
      <c r="S37" t="s">
        <v>2031</v>
      </c>
      <c r="T37">
        <v>0</v>
      </c>
      <c r="U37" t="s">
        <v>2027</v>
      </c>
      <c r="V37" t="s">
        <v>2004</v>
      </c>
      <c r="X37" t="s">
        <v>2075</v>
      </c>
      <c r="Y37">
        <v>2.7780000000000001E-7</v>
      </c>
      <c r="Z37" t="s">
        <v>2077</v>
      </c>
      <c r="AA37">
        <v>0</v>
      </c>
      <c r="AB37" t="s">
        <v>2027</v>
      </c>
      <c r="AC37" t="s">
        <v>2072</v>
      </c>
    </row>
    <row r="38" spans="17:29">
      <c r="Q38" t="s">
        <v>2031</v>
      </c>
      <c r="R38">
        <v>8.3299999999999999E-2</v>
      </c>
      <c r="S38" t="s">
        <v>2028</v>
      </c>
      <c r="T38">
        <v>0</v>
      </c>
      <c r="U38" t="s">
        <v>2027</v>
      </c>
      <c r="V38" t="s">
        <v>2004</v>
      </c>
      <c r="X38" t="s">
        <v>2075</v>
      </c>
      <c r="Y38">
        <v>3.7249999999999998E-7</v>
      </c>
      <c r="Z38" t="s">
        <v>2074</v>
      </c>
      <c r="AA38">
        <v>0</v>
      </c>
      <c r="AB38" t="s">
        <v>2027</v>
      </c>
      <c r="AC38" t="s">
        <v>2072</v>
      </c>
    </row>
    <row r="39" spans="17:29">
      <c r="Q39" t="s">
        <v>2028</v>
      </c>
      <c r="R39">
        <v>0.30480000000000002</v>
      </c>
      <c r="S39" t="s">
        <v>2017</v>
      </c>
      <c r="T39">
        <v>0</v>
      </c>
      <c r="U39" t="s">
        <v>2027</v>
      </c>
      <c r="V39" t="s">
        <v>2004</v>
      </c>
      <c r="X39" t="s">
        <v>2073</v>
      </c>
      <c r="Y39">
        <v>3.7660000000000002E-7</v>
      </c>
      <c r="Z39" t="s">
        <v>2077</v>
      </c>
      <c r="AA39">
        <v>0</v>
      </c>
      <c r="AB39" t="s">
        <v>2027</v>
      </c>
      <c r="AC39" t="s">
        <v>2072</v>
      </c>
    </row>
    <row r="40" spans="17:29">
      <c r="Q40" t="s">
        <v>2019</v>
      </c>
      <c r="R40">
        <v>0.39369999999999999</v>
      </c>
      <c r="S40" t="s">
        <v>2031</v>
      </c>
      <c r="T40">
        <v>0</v>
      </c>
      <c r="U40" t="s">
        <v>2027</v>
      </c>
      <c r="V40" t="s">
        <v>2004</v>
      </c>
      <c r="X40" t="s">
        <v>2073</v>
      </c>
      <c r="Y40">
        <v>5.0510000000000004E-7</v>
      </c>
      <c r="Z40" t="s">
        <v>2074</v>
      </c>
      <c r="AA40">
        <v>0</v>
      </c>
      <c r="AB40" t="s">
        <v>2027</v>
      </c>
      <c r="AC40" t="s">
        <v>2072</v>
      </c>
    </row>
    <row r="41" spans="17:29">
      <c r="Q41" t="s">
        <v>2029</v>
      </c>
      <c r="R41">
        <v>0.62139999999999995</v>
      </c>
      <c r="S41" t="s">
        <v>2030</v>
      </c>
      <c r="T41">
        <v>0</v>
      </c>
      <c r="U41" t="s">
        <v>2027</v>
      </c>
      <c r="V41" t="s">
        <v>2004</v>
      </c>
      <c r="X41" t="s">
        <v>2075</v>
      </c>
      <c r="Y41">
        <v>2.3890000000000001E-4</v>
      </c>
      <c r="Z41" t="s">
        <v>2076</v>
      </c>
      <c r="AA41">
        <v>0</v>
      </c>
      <c r="AB41" t="s">
        <v>2027</v>
      </c>
      <c r="AC41" t="s">
        <v>2072</v>
      </c>
    </row>
    <row r="42" spans="17:29">
      <c r="Q42" t="s">
        <v>2030</v>
      </c>
      <c r="R42">
        <v>1.609</v>
      </c>
      <c r="S42" t="s">
        <v>2029</v>
      </c>
      <c r="T42">
        <v>0</v>
      </c>
      <c r="U42" t="s">
        <v>2027</v>
      </c>
      <c r="V42" t="s">
        <v>2004</v>
      </c>
      <c r="X42" t="s">
        <v>2070</v>
      </c>
      <c r="Y42">
        <v>2.9300000000000002E-4</v>
      </c>
      <c r="Z42" t="s">
        <v>2077</v>
      </c>
      <c r="AA42">
        <v>0</v>
      </c>
      <c r="AB42" t="s">
        <v>2027</v>
      </c>
      <c r="AC42" t="s">
        <v>2072</v>
      </c>
    </row>
    <row r="43" spans="17:29">
      <c r="Q43" t="s">
        <v>2031</v>
      </c>
      <c r="R43">
        <v>2.54</v>
      </c>
      <c r="S43" t="s">
        <v>2019</v>
      </c>
      <c r="T43">
        <v>0</v>
      </c>
      <c r="U43" t="s">
        <v>2027</v>
      </c>
      <c r="V43" t="s">
        <v>2004</v>
      </c>
      <c r="X43" t="s">
        <v>2073</v>
      </c>
      <c r="Y43">
        <v>3.2390000000000001E-4</v>
      </c>
      <c r="Z43" t="s">
        <v>2076</v>
      </c>
      <c r="AA43">
        <v>0</v>
      </c>
      <c r="AB43" t="s">
        <v>2027</v>
      </c>
      <c r="AC43" t="s">
        <v>2072</v>
      </c>
    </row>
    <row r="44" spans="17:29">
      <c r="Q44" t="s">
        <v>2017</v>
      </c>
      <c r="R44">
        <v>3.2808398950000002</v>
      </c>
      <c r="S44" t="s">
        <v>2028</v>
      </c>
      <c r="T44">
        <v>0</v>
      </c>
      <c r="U44" t="s">
        <v>2027</v>
      </c>
      <c r="V44" t="s">
        <v>2004</v>
      </c>
      <c r="X44" t="s">
        <v>2070</v>
      </c>
      <c r="Y44">
        <v>3.9290000000000001E-4</v>
      </c>
      <c r="Z44" t="s">
        <v>2074</v>
      </c>
      <c r="AA44">
        <v>0</v>
      </c>
      <c r="AB44" t="s">
        <v>2027</v>
      </c>
      <c r="AC44" t="s">
        <v>2072</v>
      </c>
    </row>
    <row r="45" spans="17:29">
      <c r="Q45" t="s">
        <v>2017</v>
      </c>
      <c r="R45">
        <v>3.2810000000000001</v>
      </c>
      <c r="S45" t="s">
        <v>2028</v>
      </c>
      <c r="T45">
        <v>0</v>
      </c>
      <c r="U45" t="s">
        <v>2027</v>
      </c>
      <c r="V45" t="s">
        <v>2004</v>
      </c>
      <c r="X45" t="s">
        <v>2075</v>
      </c>
      <c r="Y45">
        <v>9.4810000000000001E-4</v>
      </c>
      <c r="Z45" t="s">
        <v>2070</v>
      </c>
      <c r="AA45">
        <v>0</v>
      </c>
      <c r="AB45" t="s">
        <v>2027</v>
      </c>
      <c r="AC45" t="s">
        <v>2072</v>
      </c>
    </row>
    <row r="46" spans="17:29">
      <c r="Q46" t="s">
        <v>2028</v>
      </c>
      <c r="R46">
        <v>12</v>
      </c>
      <c r="S46" t="s">
        <v>2031</v>
      </c>
      <c r="T46">
        <v>0</v>
      </c>
      <c r="U46" t="s">
        <v>2027</v>
      </c>
      <c r="V46" t="s">
        <v>2004</v>
      </c>
      <c r="X46" t="s">
        <v>2076</v>
      </c>
      <c r="Y46">
        <v>1.163E-3</v>
      </c>
      <c r="Z46" t="s">
        <v>2077</v>
      </c>
      <c r="AA46">
        <v>0</v>
      </c>
      <c r="AB46" t="s">
        <v>2027</v>
      </c>
      <c r="AC46" t="s">
        <v>2072</v>
      </c>
    </row>
    <row r="47" spans="17:29">
      <c r="Q47" t="s">
        <v>2028</v>
      </c>
      <c r="R47">
        <v>30.48</v>
      </c>
      <c r="S47" t="s">
        <v>2019</v>
      </c>
      <c r="T47">
        <v>0</v>
      </c>
      <c r="U47" t="s">
        <v>2027</v>
      </c>
      <c r="V47" t="s">
        <v>2004</v>
      </c>
      <c r="X47" t="s">
        <v>2073</v>
      </c>
      <c r="Y47">
        <v>1.2849999999999999E-3</v>
      </c>
      <c r="Z47" t="s">
        <v>2070</v>
      </c>
      <c r="AA47">
        <v>0</v>
      </c>
      <c r="AB47" t="s">
        <v>2027</v>
      </c>
      <c r="AC47" t="s">
        <v>2072</v>
      </c>
    </row>
    <row r="48" spans="17:29">
      <c r="Q48" t="s">
        <v>2017</v>
      </c>
      <c r="R48">
        <v>39.369999999999997</v>
      </c>
      <c r="S48" t="s">
        <v>2031</v>
      </c>
      <c r="T48">
        <v>0</v>
      </c>
      <c r="U48" t="s">
        <v>2027</v>
      </c>
      <c r="V48" t="s">
        <v>2004</v>
      </c>
      <c r="X48" t="s">
        <v>2076</v>
      </c>
      <c r="Y48">
        <v>1.5590000000000001E-3</v>
      </c>
      <c r="Z48" t="s">
        <v>2074</v>
      </c>
      <c r="AA48">
        <v>0</v>
      </c>
      <c r="AB48" t="s">
        <v>2027</v>
      </c>
      <c r="AC48" t="s">
        <v>2072</v>
      </c>
    </row>
    <row r="49" spans="17:29">
      <c r="Q49" t="s">
        <v>2017</v>
      </c>
      <c r="R49">
        <v>100</v>
      </c>
      <c r="S49" t="s">
        <v>2019</v>
      </c>
      <c r="T49">
        <v>0</v>
      </c>
      <c r="U49" t="s">
        <v>2027</v>
      </c>
      <c r="V49" t="s">
        <v>2004</v>
      </c>
      <c r="X49" t="s">
        <v>2070</v>
      </c>
      <c r="Y49">
        <v>0.252</v>
      </c>
      <c r="Z49" t="s">
        <v>2076</v>
      </c>
      <c r="AA49">
        <v>0</v>
      </c>
      <c r="AB49" t="s">
        <v>2027</v>
      </c>
      <c r="AC49" t="s">
        <v>2072</v>
      </c>
    </row>
    <row r="50" spans="17:29">
      <c r="Q50" t="s">
        <v>2017</v>
      </c>
      <c r="R50">
        <v>1000</v>
      </c>
      <c r="S50" t="s">
        <v>2018</v>
      </c>
      <c r="T50">
        <v>0</v>
      </c>
      <c r="U50" t="s">
        <v>2027</v>
      </c>
      <c r="V50" t="s">
        <v>2004</v>
      </c>
      <c r="X50" t="s">
        <v>2075</v>
      </c>
      <c r="Y50">
        <v>0.73760000000000003</v>
      </c>
      <c r="Z50" t="s">
        <v>2073</v>
      </c>
      <c r="AA50">
        <v>0</v>
      </c>
      <c r="AB50" t="s">
        <v>2027</v>
      </c>
      <c r="AC50" t="s">
        <v>2072</v>
      </c>
    </row>
    <row r="51" spans="17:29">
      <c r="Q51" t="s">
        <v>2029</v>
      </c>
      <c r="R51">
        <v>1000</v>
      </c>
      <c r="S51" t="s">
        <v>2017</v>
      </c>
      <c r="T51">
        <v>0</v>
      </c>
      <c r="U51" t="s">
        <v>2027</v>
      </c>
      <c r="V51" t="s">
        <v>2004</v>
      </c>
      <c r="X51" t="s">
        <v>2074</v>
      </c>
      <c r="Y51">
        <v>0.74570000000000003</v>
      </c>
      <c r="Z51" t="s">
        <v>2077</v>
      </c>
      <c r="AA51">
        <v>0</v>
      </c>
      <c r="AB51" t="s">
        <v>2027</v>
      </c>
      <c r="AC51" t="s">
        <v>2072</v>
      </c>
    </row>
    <row r="52" spans="17:29">
      <c r="Q52" t="s">
        <v>2030</v>
      </c>
      <c r="R52">
        <v>1609</v>
      </c>
      <c r="S52" t="s">
        <v>2017</v>
      </c>
      <c r="T52">
        <v>0</v>
      </c>
      <c r="U52" t="s">
        <v>2027</v>
      </c>
      <c r="V52" t="s">
        <v>2004</v>
      </c>
      <c r="X52" t="s">
        <v>2077</v>
      </c>
      <c r="Y52">
        <v>1.341</v>
      </c>
      <c r="Z52" t="s">
        <v>2074</v>
      </c>
      <c r="AA52">
        <v>0</v>
      </c>
      <c r="AB52" t="s">
        <v>2027</v>
      </c>
      <c r="AC52" t="s">
        <v>2072</v>
      </c>
    </row>
    <row r="53" spans="17:29">
      <c r="Q53" t="s">
        <v>2029</v>
      </c>
      <c r="R53">
        <v>3281</v>
      </c>
      <c r="S53" t="s">
        <v>2028</v>
      </c>
      <c r="T53">
        <v>0</v>
      </c>
      <c r="U53" t="s">
        <v>2027</v>
      </c>
      <c r="V53" t="s">
        <v>2004</v>
      </c>
      <c r="X53" t="s">
        <v>2073</v>
      </c>
      <c r="Y53">
        <v>1.3560000000000001</v>
      </c>
      <c r="Z53" t="s">
        <v>2075</v>
      </c>
      <c r="AA53">
        <v>0</v>
      </c>
      <c r="AB53" t="s">
        <v>2027</v>
      </c>
      <c r="AC53" t="s">
        <v>2072</v>
      </c>
    </row>
    <row r="54" spans="17:29">
      <c r="Q54" t="s">
        <v>2030</v>
      </c>
      <c r="R54">
        <v>5280</v>
      </c>
      <c r="S54" t="s">
        <v>2028</v>
      </c>
      <c r="T54">
        <v>0</v>
      </c>
      <c r="U54" t="s">
        <v>2027</v>
      </c>
      <c r="V54" t="s">
        <v>2004</v>
      </c>
      <c r="X54" t="s">
        <v>2076</v>
      </c>
      <c r="Y54">
        <v>3.968</v>
      </c>
      <c r="Z54" t="s">
        <v>2070</v>
      </c>
      <c r="AA54">
        <v>0</v>
      </c>
      <c r="AB54" t="s">
        <v>2027</v>
      </c>
      <c r="AC54" t="s">
        <v>2072</v>
      </c>
    </row>
    <row r="55" spans="17:29">
      <c r="Q55" t="s">
        <v>2029</v>
      </c>
      <c r="R55">
        <v>39370</v>
      </c>
      <c r="S55" t="s">
        <v>2031</v>
      </c>
      <c r="T55">
        <v>0</v>
      </c>
      <c r="U55" t="s">
        <v>2027</v>
      </c>
      <c r="V55" t="s">
        <v>2004</v>
      </c>
      <c r="X55" t="s">
        <v>2074</v>
      </c>
      <c r="Y55">
        <v>641.4</v>
      </c>
      <c r="Z55" t="s">
        <v>2076</v>
      </c>
      <c r="AA55">
        <v>0</v>
      </c>
      <c r="AB55" t="s">
        <v>2027</v>
      </c>
      <c r="AC55" t="s">
        <v>2072</v>
      </c>
    </row>
    <row r="56" spans="17:29">
      <c r="Q56" t="s">
        <v>2030</v>
      </c>
      <c r="R56">
        <v>63360</v>
      </c>
      <c r="S56" t="s">
        <v>2031</v>
      </c>
      <c r="T56">
        <v>0</v>
      </c>
      <c r="U56" t="s">
        <v>2027</v>
      </c>
      <c r="V56" t="s">
        <v>2004</v>
      </c>
      <c r="X56" t="s">
        <v>2070</v>
      </c>
      <c r="Y56">
        <v>777.9</v>
      </c>
      <c r="Z56" t="s">
        <v>2073</v>
      </c>
      <c r="AA56">
        <v>0</v>
      </c>
      <c r="AB56" t="s">
        <v>2027</v>
      </c>
      <c r="AC56" t="s">
        <v>2072</v>
      </c>
    </row>
    <row r="57" spans="17:29">
      <c r="Q57" t="s">
        <v>2029</v>
      </c>
      <c r="R57">
        <v>100000</v>
      </c>
      <c r="S57" t="s">
        <v>2019</v>
      </c>
      <c r="T57">
        <v>0</v>
      </c>
      <c r="U57" t="s">
        <v>2027</v>
      </c>
      <c r="V57" t="s">
        <v>2004</v>
      </c>
      <c r="X57" t="s">
        <v>2077</v>
      </c>
      <c r="Y57">
        <v>860.1</v>
      </c>
      <c r="Z57" t="s">
        <v>2076</v>
      </c>
      <c r="AA57">
        <v>0</v>
      </c>
      <c r="AB57" t="s">
        <v>2027</v>
      </c>
      <c r="AC57" t="s">
        <v>2072</v>
      </c>
    </row>
    <row r="58" spans="17:29">
      <c r="Q58" t="s">
        <v>2030</v>
      </c>
      <c r="R58">
        <v>160900</v>
      </c>
      <c r="S58" t="s">
        <v>2019</v>
      </c>
      <c r="T58">
        <v>0</v>
      </c>
      <c r="U58" t="s">
        <v>2027</v>
      </c>
      <c r="V58" t="s">
        <v>2004</v>
      </c>
      <c r="X58" t="s">
        <v>2070</v>
      </c>
      <c r="Y58">
        <v>1055</v>
      </c>
      <c r="Z58" t="s">
        <v>2075</v>
      </c>
      <c r="AA58">
        <v>0</v>
      </c>
      <c r="AB58" t="s">
        <v>2027</v>
      </c>
      <c r="AC58" t="s">
        <v>2072</v>
      </c>
    </row>
    <row r="59" spans="17:29">
      <c r="Q59" t="s">
        <v>2040</v>
      </c>
      <c r="R59">
        <v>1E-3</v>
      </c>
      <c r="S59" t="s">
        <v>2020</v>
      </c>
      <c r="T59">
        <v>0</v>
      </c>
      <c r="U59" t="s">
        <v>2027</v>
      </c>
      <c r="V59" t="s">
        <v>2036</v>
      </c>
      <c r="X59" t="s">
        <v>2074</v>
      </c>
      <c r="Y59">
        <v>2545</v>
      </c>
      <c r="Z59" t="s">
        <v>2070</v>
      </c>
      <c r="AA59">
        <v>0</v>
      </c>
      <c r="AB59" t="s">
        <v>2027</v>
      </c>
      <c r="AC59" t="s">
        <v>2072</v>
      </c>
    </row>
    <row r="60" spans="17:29">
      <c r="Q60" t="s">
        <v>2040</v>
      </c>
      <c r="R60">
        <v>2.2049999999999999E-3</v>
      </c>
      <c r="S60" t="s">
        <v>2021</v>
      </c>
      <c r="T60">
        <v>0</v>
      </c>
      <c r="U60" t="s">
        <v>2027</v>
      </c>
      <c r="V60" t="s">
        <v>2036</v>
      </c>
      <c r="X60" t="s">
        <v>2076</v>
      </c>
      <c r="Y60">
        <v>3087</v>
      </c>
      <c r="Z60" t="s">
        <v>2073</v>
      </c>
      <c r="AA60">
        <v>0</v>
      </c>
      <c r="AB60" t="s">
        <v>2027</v>
      </c>
      <c r="AC60" t="s">
        <v>2072</v>
      </c>
    </row>
    <row r="61" spans="17:29">
      <c r="Q61" t="s">
        <v>2020</v>
      </c>
      <c r="R61">
        <v>2.2050000000000001</v>
      </c>
      <c r="S61" t="s">
        <v>2021</v>
      </c>
      <c r="T61">
        <v>0</v>
      </c>
      <c r="U61" t="s">
        <v>2027</v>
      </c>
      <c r="V61" t="s">
        <v>2036</v>
      </c>
      <c r="X61" t="s">
        <v>2077</v>
      </c>
      <c r="Y61">
        <v>3413</v>
      </c>
      <c r="Z61" t="s">
        <v>2070</v>
      </c>
      <c r="AA61">
        <v>0</v>
      </c>
      <c r="AB61" t="s">
        <v>2027</v>
      </c>
      <c r="AC61" t="s">
        <v>2072</v>
      </c>
    </row>
    <row r="62" spans="17:29">
      <c r="Q62" t="s">
        <v>2021</v>
      </c>
      <c r="R62">
        <v>453.6</v>
      </c>
      <c r="S62" t="s">
        <v>2040</v>
      </c>
      <c r="T62">
        <v>0</v>
      </c>
      <c r="U62" t="s">
        <v>2027</v>
      </c>
      <c r="V62" t="s">
        <v>2036</v>
      </c>
      <c r="X62" t="s">
        <v>2076</v>
      </c>
      <c r="Y62">
        <v>4186</v>
      </c>
      <c r="Z62" t="s">
        <v>2075</v>
      </c>
      <c r="AA62">
        <v>0</v>
      </c>
      <c r="AB62" t="s">
        <v>2027</v>
      </c>
      <c r="AC62" t="s">
        <v>2072</v>
      </c>
    </row>
    <row r="63" spans="17:29">
      <c r="Q63" t="s">
        <v>2020</v>
      </c>
      <c r="R63">
        <v>1000</v>
      </c>
      <c r="S63" t="s">
        <v>2040</v>
      </c>
      <c r="T63">
        <v>0</v>
      </c>
      <c r="U63" t="s">
        <v>2027</v>
      </c>
      <c r="V63" t="s">
        <v>2036</v>
      </c>
      <c r="X63" t="s">
        <v>2074</v>
      </c>
      <c r="Y63">
        <v>1980000</v>
      </c>
      <c r="Z63" t="s">
        <v>2073</v>
      </c>
      <c r="AA63">
        <v>0</v>
      </c>
      <c r="AB63" t="s">
        <v>2027</v>
      </c>
      <c r="AC63" t="s">
        <v>2072</v>
      </c>
    </row>
    <row r="64" spans="17:29">
      <c r="Q64" t="s">
        <v>2021</v>
      </c>
      <c r="R64">
        <v>0.45359237000000002</v>
      </c>
      <c r="S64" t="s">
        <v>2020</v>
      </c>
      <c r="T64">
        <v>0</v>
      </c>
      <c r="U64" t="s">
        <v>2027</v>
      </c>
      <c r="V64" t="s">
        <v>2036</v>
      </c>
      <c r="X64" t="s">
        <v>2077</v>
      </c>
      <c r="Y64">
        <v>2655000</v>
      </c>
      <c r="Z64" t="s">
        <v>2073</v>
      </c>
      <c r="AA64">
        <v>0</v>
      </c>
      <c r="AB64" t="s">
        <v>2027</v>
      </c>
      <c r="AC64" t="s">
        <v>2072</v>
      </c>
    </row>
    <row r="65" spans="17:29">
      <c r="Q65" t="s">
        <v>2090</v>
      </c>
      <c r="R65">
        <v>0.55559999999999998</v>
      </c>
      <c r="S65" t="s">
        <v>2089</v>
      </c>
      <c r="T65">
        <v>-17.777799999999999</v>
      </c>
      <c r="U65" t="s">
        <v>2026</v>
      </c>
      <c r="V65" t="s">
        <v>2038</v>
      </c>
      <c r="X65" t="s">
        <v>2074</v>
      </c>
      <c r="Y65">
        <v>2685000</v>
      </c>
      <c r="Z65" t="s">
        <v>2075</v>
      </c>
      <c r="AA65">
        <v>0</v>
      </c>
      <c r="AB65" t="s">
        <v>2027</v>
      </c>
      <c r="AC65" t="s">
        <v>2072</v>
      </c>
    </row>
    <row r="66" spans="17:29">
      <c r="Q66" t="s">
        <v>2089</v>
      </c>
      <c r="R66">
        <v>1.8</v>
      </c>
      <c r="S66" t="s">
        <v>2090</v>
      </c>
      <c r="T66">
        <v>32</v>
      </c>
      <c r="U66" t="s">
        <v>2026</v>
      </c>
      <c r="V66" t="s">
        <v>2038</v>
      </c>
      <c r="X66" t="s">
        <v>2077</v>
      </c>
      <c r="Y66">
        <v>3600000</v>
      </c>
      <c r="Z66" t="s">
        <v>2075</v>
      </c>
      <c r="AA66">
        <v>0</v>
      </c>
      <c r="AB66" t="s">
        <v>2027</v>
      </c>
      <c r="AC66" t="s">
        <v>2072</v>
      </c>
    </row>
    <row r="67" spans="17:29">
      <c r="Q67" t="s">
        <v>2034</v>
      </c>
      <c r="R67">
        <v>9.9999999999999995E-7</v>
      </c>
      <c r="S67" t="s">
        <v>2023</v>
      </c>
      <c r="T67">
        <v>0</v>
      </c>
      <c r="U67" t="s">
        <v>2027</v>
      </c>
      <c r="V67" t="s">
        <v>2037</v>
      </c>
      <c r="X67" t="s">
        <v>2075</v>
      </c>
      <c r="Y67">
        <v>10000000</v>
      </c>
      <c r="Z67" t="s">
        <v>2071</v>
      </c>
      <c r="AA67">
        <v>0</v>
      </c>
      <c r="AB67" t="s">
        <v>2027</v>
      </c>
      <c r="AC67" t="s">
        <v>2072</v>
      </c>
    </row>
    <row r="68" spans="17:29">
      <c r="Q68" t="s">
        <v>2098</v>
      </c>
      <c r="R68">
        <v>1.5999999999999999E-5</v>
      </c>
      <c r="S68" t="s">
        <v>2023</v>
      </c>
      <c r="T68">
        <v>0</v>
      </c>
      <c r="U68" t="s">
        <v>2027</v>
      </c>
      <c r="V68" t="s">
        <v>2037</v>
      </c>
      <c r="X68" t="s">
        <v>2073</v>
      </c>
      <c r="Y68">
        <v>13560000</v>
      </c>
      <c r="Z68" t="s">
        <v>2071</v>
      </c>
      <c r="AA68">
        <v>0</v>
      </c>
      <c r="AB68" t="s">
        <v>2027</v>
      </c>
      <c r="AC68" t="s">
        <v>2072</v>
      </c>
    </row>
    <row r="69" spans="17:29">
      <c r="Q69" t="s">
        <v>2034</v>
      </c>
      <c r="R69">
        <v>3.4999999999999997E-5</v>
      </c>
      <c r="S69" t="s">
        <v>2099</v>
      </c>
      <c r="T69">
        <v>0</v>
      </c>
      <c r="U69" t="s">
        <v>2027</v>
      </c>
      <c r="V69" t="s">
        <v>2037</v>
      </c>
      <c r="X69" t="s">
        <v>2070</v>
      </c>
      <c r="Y69">
        <v>10550000000</v>
      </c>
      <c r="Z69" t="s">
        <v>2071</v>
      </c>
      <c r="AA69">
        <v>0</v>
      </c>
      <c r="AB69" t="s">
        <v>2027</v>
      </c>
      <c r="AC69" t="s">
        <v>2072</v>
      </c>
    </row>
    <row r="70" spans="17:29">
      <c r="Q70" t="s">
        <v>2034</v>
      </c>
      <c r="R70">
        <v>2.6400000000000002E-4</v>
      </c>
      <c r="S70" t="s">
        <v>2100</v>
      </c>
      <c r="T70">
        <v>0</v>
      </c>
      <c r="U70" t="s">
        <v>2027</v>
      </c>
      <c r="V70" t="s">
        <v>2037</v>
      </c>
      <c r="X70" t="s">
        <v>2076</v>
      </c>
      <c r="Y70">
        <v>41860000000</v>
      </c>
      <c r="Z70" t="s">
        <v>2071</v>
      </c>
      <c r="AA70">
        <v>0</v>
      </c>
      <c r="AB70" t="s">
        <v>2027</v>
      </c>
      <c r="AC70" t="s">
        <v>2072</v>
      </c>
    </row>
    <row r="71" spans="17:29">
      <c r="Q71" t="s">
        <v>2034</v>
      </c>
      <c r="R71">
        <v>1E-3</v>
      </c>
      <c r="S71" t="s">
        <v>2022</v>
      </c>
      <c r="T71">
        <v>0</v>
      </c>
      <c r="U71" t="s">
        <v>2027</v>
      </c>
      <c r="V71" t="s">
        <v>2037</v>
      </c>
      <c r="X71" t="s">
        <v>2074</v>
      </c>
      <c r="Y71">
        <v>26850000000000</v>
      </c>
      <c r="Z71" t="s">
        <v>2071</v>
      </c>
      <c r="AA71">
        <v>0</v>
      </c>
      <c r="AB71" t="s">
        <v>2027</v>
      </c>
      <c r="AC71" t="s">
        <v>2072</v>
      </c>
    </row>
    <row r="72" spans="17:29">
      <c r="Q72" t="s">
        <v>2022</v>
      </c>
      <c r="R72">
        <v>1E-3</v>
      </c>
      <c r="S72" t="s">
        <v>2023</v>
      </c>
      <c r="T72">
        <v>0</v>
      </c>
      <c r="U72" t="s">
        <v>2027</v>
      </c>
      <c r="V72" t="s">
        <v>2037</v>
      </c>
      <c r="X72" t="s">
        <v>2077</v>
      </c>
      <c r="Y72">
        <v>36000000000000</v>
      </c>
      <c r="Z72" t="s">
        <v>2071</v>
      </c>
      <c r="AA72">
        <v>0</v>
      </c>
      <c r="AB72" t="s">
        <v>2027</v>
      </c>
      <c r="AC72" t="s">
        <v>2072</v>
      </c>
    </row>
    <row r="73" spans="17:29">
      <c r="Q73" t="s">
        <v>2100</v>
      </c>
      <c r="R73">
        <v>3.7850000000000002E-3</v>
      </c>
      <c r="S73" t="s">
        <v>2023</v>
      </c>
      <c r="T73">
        <v>0</v>
      </c>
      <c r="U73" t="s">
        <v>2027</v>
      </c>
      <c r="V73" t="s">
        <v>2037</v>
      </c>
      <c r="X73" t="s">
        <v>2053</v>
      </c>
      <c r="Y73">
        <v>1.02E-6</v>
      </c>
      <c r="Z73" t="s">
        <v>2056</v>
      </c>
      <c r="AA73">
        <v>0</v>
      </c>
      <c r="AB73" t="s">
        <v>2027</v>
      </c>
      <c r="AC73" t="s">
        <v>2055</v>
      </c>
    </row>
    <row r="74" spans="17:29">
      <c r="Q74" t="s">
        <v>2098</v>
      </c>
      <c r="R74">
        <v>1.6386999999999999E-2</v>
      </c>
      <c r="S74" t="s">
        <v>2022</v>
      </c>
      <c r="T74">
        <v>0</v>
      </c>
      <c r="U74" t="s">
        <v>2027</v>
      </c>
      <c r="V74" t="s">
        <v>2037</v>
      </c>
      <c r="X74" t="s">
        <v>2053</v>
      </c>
      <c r="Y74">
        <v>2.2479999999999999E-6</v>
      </c>
      <c r="Z74" t="s">
        <v>2058</v>
      </c>
      <c r="AA74">
        <v>0</v>
      </c>
      <c r="AB74" t="s">
        <v>2027</v>
      </c>
      <c r="AC74" t="s">
        <v>2055</v>
      </c>
    </row>
    <row r="75" spans="17:29">
      <c r="Q75" t="s">
        <v>2099</v>
      </c>
      <c r="R75">
        <v>2.8316999999999998E-2</v>
      </c>
      <c r="S75" t="s">
        <v>2023</v>
      </c>
      <c r="T75">
        <v>0</v>
      </c>
      <c r="U75" t="s">
        <v>2027</v>
      </c>
      <c r="V75" t="s">
        <v>2037</v>
      </c>
      <c r="X75" t="s">
        <v>2053</v>
      </c>
      <c r="Y75">
        <v>1.0000000000000001E-5</v>
      </c>
      <c r="Z75" t="s">
        <v>2057</v>
      </c>
      <c r="AA75">
        <v>0</v>
      </c>
      <c r="AB75" t="s">
        <v>2027</v>
      </c>
      <c r="AC75" t="s">
        <v>2055</v>
      </c>
    </row>
    <row r="76" spans="17:29">
      <c r="Q76" t="s">
        <v>2022</v>
      </c>
      <c r="R76">
        <v>3.5000000000000003E-2</v>
      </c>
      <c r="S76" t="s">
        <v>2099</v>
      </c>
      <c r="T76">
        <v>0</v>
      </c>
      <c r="U76" t="s">
        <v>2027</v>
      </c>
      <c r="V76" t="s">
        <v>2037</v>
      </c>
      <c r="X76" t="s">
        <v>2054</v>
      </c>
      <c r="Y76">
        <v>1E-3</v>
      </c>
      <c r="Z76" t="s">
        <v>2056</v>
      </c>
      <c r="AA76">
        <v>0</v>
      </c>
      <c r="AB76" t="s">
        <v>2027</v>
      </c>
      <c r="AC76" t="s">
        <v>2055</v>
      </c>
    </row>
    <row r="77" spans="17:29">
      <c r="Q77" t="s">
        <v>2034</v>
      </c>
      <c r="R77">
        <v>6.1024000000000002E-2</v>
      </c>
      <c r="S77" t="s">
        <v>2098</v>
      </c>
      <c r="T77">
        <v>0</v>
      </c>
      <c r="U77" t="s">
        <v>2027</v>
      </c>
      <c r="V77" t="s">
        <v>2037</v>
      </c>
      <c r="X77" t="s">
        <v>2053</v>
      </c>
      <c r="Y77">
        <v>1.0200000000000001E-3</v>
      </c>
      <c r="Z77" t="s">
        <v>2054</v>
      </c>
      <c r="AA77">
        <v>0</v>
      </c>
      <c r="AB77" t="s">
        <v>2027</v>
      </c>
      <c r="AC77" t="s">
        <v>2055</v>
      </c>
    </row>
    <row r="78" spans="17:29">
      <c r="Q78" t="s">
        <v>2022</v>
      </c>
      <c r="R78">
        <v>0.26420100000000002</v>
      </c>
      <c r="S78" t="s">
        <v>2100</v>
      </c>
      <c r="T78">
        <v>0</v>
      </c>
      <c r="U78" t="s">
        <v>2027</v>
      </c>
      <c r="V78" t="s">
        <v>2037</v>
      </c>
      <c r="X78" t="s">
        <v>2054</v>
      </c>
      <c r="Y78">
        <v>2.2049999999999999E-3</v>
      </c>
      <c r="Z78" t="s">
        <v>2058</v>
      </c>
      <c r="AA78">
        <v>0</v>
      </c>
      <c r="AB78" t="s">
        <v>2027</v>
      </c>
      <c r="AC78" t="s">
        <v>2055</v>
      </c>
    </row>
    <row r="79" spans="17:29">
      <c r="Q79" t="s">
        <v>2100</v>
      </c>
      <c r="R79">
        <v>3.79</v>
      </c>
      <c r="S79" t="s">
        <v>2022</v>
      </c>
      <c r="T79">
        <v>0</v>
      </c>
      <c r="U79" t="s">
        <v>2027</v>
      </c>
      <c r="V79" t="s">
        <v>2037</v>
      </c>
      <c r="X79" t="s">
        <v>2054</v>
      </c>
      <c r="Y79">
        <v>9.8069999999999997E-3</v>
      </c>
      <c r="Z79" t="s">
        <v>2057</v>
      </c>
      <c r="AA79">
        <v>0</v>
      </c>
      <c r="AB79" t="s">
        <v>2027</v>
      </c>
      <c r="AC79" t="s">
        <v>2055</v>
      </c>
    </row>
    <row r="80" spans="17:29">
      <c r="Q80" t="s">
        <v>2098</v>
      </c>
      <c r="R80">
        <v>16.399999999999999</v>
      </c>
      <c r="S80" t="s">
        <v>2034</v>
      </c>
      <c r="T80">
        <v>0</v>
      </c>
      <c r="U80" t="s">
        <v>2027</v>
      </c>
      <c r="V80" t="s">
        <v>2037</v>
      </c>
      <c r="X80" t="s">
        <v>2059</v>
      </c>
      <c r="Y80">
        <v>0.10199999999999999</v>
      </c>
      <c r="Z80" t="s">
        <v>2056</v>
      </c>
      <c r="AA80">
        <v>0</v>
      </c>
      <c r="AB80" t="s">
        <v>2027</v>
      </c>
      <c r="AC80" t="s">
        <v>2055</v>
      </c>
    </row>
    <row r="81" spans="17:29">
      <c r="Q81" t="s">
        <v>2099</v>
      </c>
      <c r="R81">
        <v>28.316849999999999</v>
      </c>
      <c r="S81" t="s">
        <v>2022</v>
      </c>
      <c r="T81">
        <v>0</v>
      </c>
      <c r="U81" t="s">
        <v>2027</v>
      </c>
      <c r="V81" t="s">
        <v>2037</v>
      </c>
      <c r="X81" t="s">
        <v>2059</v>
      </c>
      <c r="Y81">
        <v>0.2248</v>
      </c>
      <c r="Z81" t="s">
        <v>2058</v>
      </c>
      <c r="AA81">
        <v>0</v>
      </c>
      <c r="AB81" t="s">
        <v>2027</v>
      </c>
      <c r="AC81" t="s">
        <v>2055</v>
      </c>
    </row>
    <row r="82" spans="17:29">
      <c r="Q82" t="s">
        <v>2023</v>
      </c>
      <c r="R82">
        <v>35</v>
      </c>
      <c r="S82" t="s">
        <v>2099</v>
      </c>
      <c r="T82">
        <v>0</v>
      </c>
      <c r="U82" t="s">
        <v>2027</v>
      </c>
      <c r="V82" t="s">
        <v>2037</v>
      </c>
      <c r="X82" t="s">
        <v>2058</v>
      </c>
      <c r="Y82">
        <v>0.4536</v>
      </c>
      <c r="Z82" t="s">
        <v>2056</v>
      </c>
      <c r="AA82">
        <v>0</v>
      </c>
      <c r="AB82" t="s">
        <v>2027</v>
      </c>
      <c r="AC82" t="s">
        <v>2055</v>
      </c>
    </row>
    <row r="83" spans="17:29">
      <c r="Q83" t="s">
        <v>2022</v>
      </c>
      <c r="R83">
        <v>61</v>
      </c>
      <c r="S83" t="s">
        <v>2098</v>
      </c>
      <c r="T83">
        <v>0</v>
      </c>
      <c r="U83" t="s">
        <v>2027</v>
      </c>
      <c r="V83" t="s">
        <v>2037</v>
      </c>
      <c r="X83" t="s">
        <v>2056</v>
      </c>
      <c r="Y83">
        <v>2.2050000000000001</v>
      </c>
      <c r="Z83" t="s">
        <v>2058</v>
      </c>
      <c r="AA83">
        <v>0</v>
      </c>
      <c r="AB83" t="s">
        <v>2027</v>
      </c>
      <c r="AC83" t="s">
        <v>2055</v>
      </c>
    </row>
    <row r="84" spans="17:29">
      <c r="Q84" t="s">
        <v>2023</v>
      </c>
      <c r="R84">
        <v>264</v>
      </c>
      <c r="S84" t="s">
        <v>2100</v>
      </c>
      <c r="T84">
        <v>0</v>
      </c>
      <c r="U84" t="s">
        <v>2027</v>
      </c>
      <c r="V84" t="s">
        <v>2037</v>
      </c>
      <c r="X84" t="s">
        <v>2058</v>
      </c>
      <c r="Y84">
        <v>4.4480000000000004</v>
      </c>
      <c r="Z84" t="s">
        <v>2057</v>
      </c>
      <c r="AA84">
        <v>0</v>
      </c>
      <c r="AB84" t="s">
        <v>2027</v>
      </c>
      <c r="AC84" t="s">
        <v>2055</v>
      </c>
    </row>
    <row r="85" spans="17:29">
      <c r="Q85" t="s">
        <v>2023</v>
      </c>
      <c r="R85">
        <v>1000</v>
      </c>
      <c r="S85" t="s">
        <v>2022</v>
      </c>
      <c r="T85">
        <v>0</v>
      </c>
      <c r="U85" t="s">
        <v>2027</v>
      </c>
      <c r="V85" t="s">
        <v>2037</v>
      </c>
      <c r="X85" t="s">
        <v>2056</v>
      </c>
      <c r="Y85">
        <v>9.8070000000000004</v>
      </c>
      <c r="Z85" t="s">
        <v>2057</v>
      </c>
      <c r="AA85">
        <v>0</v>
      </c>
      <c r="AB85" t="s">
        <v>2027</v>
      </c>
      <c r="AC85" t="s">
        <v>2055</v>
      </c>
    </row>
    <row r="86" spans="17:29">
      <c r="Q86" t="s">
        <v>2022</v>
      </c>
      <c r="R86">
        <v>1000</v>
      </c>
      <c r="S86" t="s">
        <v>2034</v>
      </c>
      <c r="T86">
        <v>0</v>
      </c>
      <c r="U86" t="s">
        <v>2027</v>
      </c>
      <c r="V86" t="s">
        <v>2037</v>
      </c>
      <c r="X86" t="s">
        <v>2059</v>
      </c>
      <c r="Y86">
        <v>102</v>
      </c>
      <c r="Z86" t="s">
        <v>2054</v>
      </c>
      <c r="AA86">
        <v>0</v>
      </c>
      <c r="AB86" t="s">
        <v>2027</v>
      </c>
      <c r="AC86" t="s">
        <v>2055</v>
      </c>
    </row>
    <row r="87" spans="17:29">
      <c r="Q87" t="s">
        <v>2100</v>
      </c>
      <c r="R87">
        <v>3785</v>
      </c>
      <c r="S87" t="s">
        <v>2034</v>
      </c>
      <c r="T87">
        <v>0</v>
      </c>
      <c r="U87" t="s">
        <v>2027</v>
      </c>
      <c r="V87" t="s">
        <v>2037</v>
      </c>
      <c r="X87" t="s">
        <v>2058</v>
      </c>
      <c r="Y87">
        <v>453.6</v>
      </c>
      <c r="Z87" t="s">
        <v>2054</v>
      </c>
      <c r="AA87">
        <v>0</v>
      </c>
      <c r="AB87" t="s">
        <v>2027</v>
      </c>
      <c r="AC87" t="s">
        <v>2055</v>
      </c>
    </row>
    <row r="88" spans="17:29">
      <c r="Q88" t="s">
        <v>2099</v>
      </c>
      <c r="R88">
        <v>28317</v>
      </c>
      <c r="S88" t="s">
        <v>2034</v>
      </c>
      <c r="T88">
        <v>0</v>
      </c>
      <c r="U88" t="s">
        <v>2027</v>
      </c>
      <c r="V88" t="s">
        <v>2037</v>
      </c>
      <c r="X88" t="s">
        <v>2054</v>
      </c>
      <c r="Y88">
        <v>980.7</v>
      </c>
      <c r="Z88" t="s">
        <v>2053</v>
      </c>
      <c r="AA88">
        <v>0</v>
      </c>
      <c r="AB88" t="s">
        <v>2027</v>
      </c>
      <c r="AC88" t="s">
        <v>2055</v>
      </c>
    </row>
    <row r="89" spans="17:29">
      <c r="Q89" t="s">
        <v>2023</v>
      </c>
      <c r="R89">
        <v>61024</v>
      </c>
      <c r="S89" t="s">
        <v>2098</v>
      </c>
      <c r="T89">
        <v>0</v>
      </c>
      <c r="U89" t="s">
        <v>2027</v>
      </c>
      <c r="V89" t="s">
        <v>2037</v>
      </c>
      <c r="X89" t="s">
        <v>2056</v>
      </c>
      <c r="Y89">
        <v>1000</v>
      </c>
      <c r="Z89" t="s">
        <v>2054</v>
      </c>
      <c r="AA89">
        <v>0</v>
      </c>
      <c r="AB89" t="s">
        <v>2027</v>
      </c>
      <c r="AC89" t="s">
        <v>2055</v>
      </c>
    </row>
    <row r="90" spans="17:29">
      <c r="Q90" t="s">
        <v>2023</v>
      </c>
      <c r="R90">
        <v>1000000</v>
      </c>
      <c r="S90" t="s">
        <v>2034</v>
      </c>
      <c r="T90">
        <v>0</v>
      </c>
      <c r="U90" t="s">
        <v>2027</v>
      </c>
      <c r="V90" t="s">
        <v>2037</v>
      </c>
      <c r="X90" t="s">
        <v>2059</v>
      </c>
      <c r="Y90">
        <v>100000</v>
      </c>
      <c r="Z90" t="s">
        <v>2053</v>
      </c>
      <c r="AA90">
        <v>0</v>
      </c>
      <c r="AB90" t="s">
        <v>2027</v>
      </c>
      <c r="AC90" t="s">
        <v>2055</v>
      </c>
    </row>
    <row r="91" spans="17:29">
      <c r="X91" t="s">
        <v>2058</v>
      </c>
      <c r="Y91">
        <v>444800</v>
      </c>
      <c r="Z91" t="s">
        <v>2053</v>
      </c>
      <c r="AA91">
        <v>0</v>
      </c>
      <c r="AB91" t="s">
        <v>2027</v>
      </c>
      <c r="AC91" t="s">
        <v>2055</v>
      </c>
    </row>
    <row r="92" spans="17:29">
      <c r="X92" t="s">
        <v>2056</v>
      </c>
      <c r="Y92">
        <v>980700</v>
      </c>
      <c r="Z92" t="s">
        <v>2053</v>
      </c>
      <c r="AA92">
        <v>0</v>
      </c>
      <c r="AB92" t="s">
        <v>2027</v>
      </c>
      <c r="AC92" t="s">
        <v>2055</v>
      </c>
    </row>
    <row r="93" spans="17:29">
      <c r="X93" t="s">
        <v>2115</v>
      </c>
      <c r="Y93">
        <v>9.9999999999999995E-7</v>
      </c>
      <c r="Z93" t="s">
        <v>2119</v>
      </c>
      <c r="AA93">
        <v>0</v>
      </c>
      <c r="AB93" t="s">
        <v>2027</v>
      </c>
      <c r="AC93" t="s">
        <v>2117</v>
      </c>
    </row>
    <row r="94" spans="17:29">
      <c r="X94" t="s">
        <v>2115</v>
      </c>
      <c r="Y94">
        <v>1.1E-5</v>
      </c>
      <c r="Z94" t="s">
        <v>2118</v>
      </c>
      <c r="AA94">
        <v>0</v>
      </c>
      <c r="AB94" t="s">
        <v>2027</v>
      </c>
      <c r="AC94" t="s">
        <v>2117</v>
      </c>
    </row>
    <row r="95" spans="17:29">
      <c r="X95" t="s">
        <v>2116</v>
      </c>
      <c r="Y95">
        <v>1E-4</v>
      </c>
      <c r="Z95" t="s">
        <v>2119</v>
      </c>
      <c r="AA95">
        <v>0</v>
      </c>
      <c r="AB95" t="s">
        <v>2027</v>
      </c>
      <c r="AC95" t="s">
        <v>2117</v>
      </c>
    </row>
    <row r="96" spans="17:29">
      <c r="X96" t="s">
        <v>2116</v>
      </c>
      <c r="Y96">
        <v>1.0759999999999999E-3</v>
      </c>
      <c r="Z96" t="s">
        <v>2118</v>
      </c>
      <c r="AA96">
        <v>0</v>
      </c>
      <c r="AB96" t="s">
        <v>2027</v>
      </c>
      <c r="AC96" t="s">
        <v>2117</v>
      </c>
    </row>
    <row r="97" spans="24:29">
      <c r="X97" t="s">
        <v>2115</v>
      </c>
      <c r="Y97">
        <v>0.01</v>
      </c>
      <c r="Z97" t="s">
        <v>2116</v>
      </c>
      <c r="AA97">
        <v>0</v>
      </c>
      <c r="AB97" t="s">
        <v>2027</v>
      </c>
      <c r="AC97" t="s">
        <v>2117</v>
      </c>
    </row>
    <row r="98" spans="24:29">
      <c r="X98" t="s">
        <v>2118</v>
      </c>
      <c r="Y98">
        <v>9.2902999999999999E-2</v>
      </c>
      <c r="Z98" t="s">
        <v>2119</v>
      </c>
      <c r="AA98">
        <v>0</v>
      </c>
      <c r="AB98" t="s">
        <v>2027</v>
      </c>
      <c r="AC98" t="s">
        <v>2117</v>
      </c>
    </row>
    <row r="99" spans="24:29">
      <c r="X99" t="s">
        <v>2119</v>
      </c>
      <c r="Y99">
        <v>10.763920000000001</v>
      </c>
      <c r="Z99" t="s">
        <v>2118</v>
      </c>
      <c r="AA99">
        <v>0</v>
      </c>
      <c r="AB99" t="s">
        <v>2027</v>
      </c>
      <c r="AC99" t="s">
        <v>2117</v>
      </c>
    </row>
    <row r="100" spans="24:29">
      <c r="X100" t="s">
        <v>2116</v>
      </c>
      <c r="Y100">
        <v>100</v>
      </c>
      <c r="Z100" t="s">
        <v>2115</v>
      </c>
      <c r="AA100">
        <v>0</v>
      </c>
      <c r="AB100" t="s">
        <v>2027</v>
      </c>
      <c r="AC100" t="s">
        <v>2117</v>
      </c>
    </row>
    <row r="101" spans="24:29">
      <c r="X101" t="s">
        <v>2118</v>
      </c>
      <c r="Y101">
        <v>929.03</v>
      </c>
      <c r="Z101" t="s">
        <v>2116</v>
      </c>
      <c r="AA101">
        <v>0</v>
      </c>
      <c r="AB101" t="s">
        <v>2027</v>
      </c>
      <c r="AC101" t="s">
        <v>2117</v>
      </c>
    </row>
    <row r="102" spans="24:29">
      <c r="X102" t="s">
        <v>2119</v>
      </c>
      <c r="Y102">
        <v>10000</v>
      </c>
      <c r="Z102" t="s">
        <v>2116</v>
      </c>
      <c r="AA102">
        <v>0</v>
      </c>
      <c r="AB102" t="s">
        <v>2027</v>
      </c>
      <c r="AC102" t="s">
        <v>2117</v>
      </c>
    </row>
    <row r="103" spans="24:29">
      <c r="X103" t="s">
        <v>2118</v>
      </c>
      <c r="Y103">
        <v>92903</v>
      </c>
      <c r="Z103" t="s">
        <v>2115</v>
      </c>
      <c r="AA103">
        <v>0</v>
      </c>
      <c r="AB103" t="s">
        <v>2027</v>
      </c>
      <c r="AC103" t="s">
        <v>2117</v>
      </c>
    </row>
    <row r="104" spans="24:29">
      <c r="X104" t="s">
        <v>2119</v>
      </c>
      <c r="Y104">
        <v>1000000</v>
      </c>
      <c r="Z104" t="s">
        <v>2115</v>
      </c>
      <c r="AA104">
        <v>0</v>
      </c>
      <c r="AB104" t="s">
        <v>2027</v>
      </c>
      <c r="AC104" t="s">
        <v>2117</v>
      </c>
    </row>
    <row r="105" spans="24:29">
      <c r="X105" t="s">
        <v>2102</v>
      </c>
      <c r="Y105">
        <v>1.26E-4</v>
      </c>
      <c r="Z105" t="s">
        <v>2104</v>
      </c>
      <c r="AA105">
        <v>0</v>
      </c>
      <c r="AB105" t="s">
        <v>2027</v>
      </c>
      <c r="AC105" t="s">
        <v>2103</v>
      </c>
    </row>
    <row r="106" spans="24:29">
      <c r="X106" t="s">
        <v>2101</v>
      </c>
      <c r="Y106">
        <v>2.7799999999999998E-4</v>
      </c>
      <c r="Z106" t="s">
        <v>2104</v>
      </c>
      <c r="AA106">
        <v>0</v>
      </c>
      <c r="AB106" t="s">
        <v>2027</v>
      </c>
      <c r="AC106" t="s">
        <v>2103</v>
      </c>
    </row>
    <row r="107" spans="24:29">
      <c r="X107" t="s">
        <v>2102</v>
      </c>
      <c r="Y107">
        <v>4.5399999999999998E-4</v>
      </c>
      <c r="Z107" t="s">
        <v>2105</v>
      </c>
      <c r="AA107">
        <v>0</v>
      </c>
      <c r="AB107" t="s">
        <v>2027</v>
      </c>
      <c r="AC107" t="s">
        <v>2103</v>
      </c>
    </row>
    <row r="108" spans="24:29">
      <c r="X108" t="s">
        <v>2101</v>
      </c>
      <c r="Y108">
        <v>1E-3</v>
      </c>
      <c r="Z108" t="s">
        <v>2105</v>
      </c>
      <c r="AA108">
        <v>0</v>
      </c>
      <c r="AB108" t="s">
        <v>2027</v>
      </c>
      <c r="AC108" t="s">
        <v>2103</v>
      </c>
    </row>
    <row r="109" spans="24:29">
      <c r="X109" t="s">
        <v>2105</v>
      </c>
      <c r="Y109">
        <v>0.27777800000000002</v>
      </c>
      <c r="Z109" t="s">
        <v>2104</v>
      </c>
      <c r="AA109">
        <v>0</v>
      </c>
      <c r="AB109" t="s">
        <v>2027</v>
      </c>
      <c r="AC109" t="s">
        <v>2103</v>
      </c>
    </row>
    <row r="110" spans="24:29">
      <c r="X110" t="s">
        <v>2102</v>
      </c>
      <c r="Y110">
        <v>0.4536</v>
      </c>
      <c r="Z110" t="s">
        <v>2101</v>
      </c>
      <c r="AA110">
        <v>0</v>
      </c>
      <c r="AB110" t="s">
        <v>2027</v>
      </c>
      <c r="AC110" t="s">
        <v>2103</v>
      </c>
    </row>
    <row r="111" spans="24:29">
      <c r="X111" t="s">
        <v>2101</v>
      </c>
      <c r="Y111">
        <v>2.2045859999999999</v>
      </c>
      <c r="Z111" t="s">
        <v>2102</v>
      </c>
      <c r="AA111">
        <v>0</v>
      </c>
      <c r="AB111" t="s">
        <v>2027</v>
      </c>
      <c r="AC111" t="s">
        <v>2103</v>
      </c>
    </row>
    <row r="112" spans="24:29">
      <c r="X112" t="s">
        <v>2104</v>
      </c>
      <c r="Y112">
        <v>3.6</v>
      </c>
      <c r="Z112" t="s">
        <v>2105</v>
      </c>
      <c r="AA112">
        <v>0</v>
      </c>
      <c r="AB112" t="s">
        <v>2027</v>
      </c>
      <c r="AC112" t="s">
        <v>2103</v>
      </c>
    </row>
    <row r="113" spans="24:29">
      <c r="X113" t="s">
        <v>2105</v>
      </c>
      <c r="Y113">
        <v>1000</v>
      </c>
      <c r="Z113" t="s">
        <v>2101</v>
      </c>
      <c r="AA113">
        <v>0</v>
      </c>
      <c r="AB113" t="s">
        <v>2027</v>
      </c>
      <c r="AC113" t="s">
        <v>2103</v>
      </c>
    </row>
    <row r="114" spans="24:29">
      <c r="X114" t="s">
        <v>2105</v>
      </c>
      <c r="Y114">
        <v>2204.5859999999998</v>
      </c>
      <c r="Z114" t="s">
        <v>2102</v>
      </c>
      <c r="AA114">
        <v>0</v>
      </c>
      <c r="AB114" t="s">
        <v>2027</v>
      </c>
      <c r="AC114" t="s">
        <v>2103</v>
      </c>
    </row>
    <row r="115" spans="24:29">
      <c r="X115" t="s">
        <v>2104</v>
      </c>
      <c r="Y115">
        <v>3600</v>
      </c>
      <c r="Z115" t="s">
        <v>2101</v>
      </c>
      <c r="AA115">
        <v>0</v>
      </c>
      <c r="AB115" t="s">
        <v>2027</v>
      </c>
      <c r="AC115" t="s">
        <v>2103</v>
      </c>
    </row>
    <row r="116" spans="24:29">
      <c r="X116" t="s">
        <v>2104</v>
      </c>
      <c r="Y116">
        <v>7936.5079999999998</v>
      </c>
      <c r="Z116" t="s">
        <v>2102</v>
      </c>
      <c r="AA116">
        <v>0</v>
      </c>
      <c r="AB116" t="s">
        <v>2027</v>
      </c>
      <c r="AC116" t="s">
        <v>2103</v>
      </c>
    </row>
    <row r="117" spans="24:29">
      <c r="X117" t="s">
        <v>2079</v>
      </c>
      <c r="Y117">
        <v>5.3990000000000003E-6</v>
      </c>
      <c r="Z117" t="s">
        <v>2083</v>
      </c>
      <c r="AA117">
        <v>0</v>
      </c>
      <c r="AB117" t="s">
        <v>2027</v>
      </c>
      <c r="AC117" t="s">
        <v>2080</v>
      </c>
    </row>
    <row r="118" spans="24:29">
      <c r="X118" t="s">
        <v>2079</v>
      </c>
      <c r="Y118">
        <v>3.0300000000000001E-5</v>
      </c>
      <c r="Z118" t="s">
        <v>2082</v>
      </c>
      <c r="AA118">
        <v>0</v>
      </c>
      <c r="AB118" t="s">
        <v>2027</v>
      </c>
      <c r="AC118" t="s">
        <v>2080</v>
      </c>
    </row>
    <row r="119" spans="24:29">
      <c r="X119" t="s">
        <v>2078</v>
      </c>
      <c r="Y119">
        <v>6.9999999999999994E-5</v>
      </c>
      <c r="Z119" t="s">
        <v>2083</v>
      </c>
      <c r="AA119">
        <v>0</v>
      </c>
      <c r="AB119" t="s">
        <v>2027</v>
      </c>
      <c r="AC119" t="s">
        <v>2080</v>
      </c>
    </row>
    <row r="120" spans="24:29">
      <c r="X120" t="s">
        <v>2088</v>
      </c>
      <c r="Y120">
        <v>2.3890000000000001E-4</v>
      </c>
      <c r="Z120" t="s">
        <v>2083</v>
      </c>
      <c r="AA120">
        <v>0</v>
      </c>
      <c r="AB120" t="s">
        <v>2027</v>
      </c>
      <c r="AC120" t="s">
        <v>2080</v>
      </c>
    </row>
    <row r="121" spans="24:29">
      <c r="X121" t="s">
        <v>2081</v>
      </c>
      <c r="Y121">
        <v>3.2390000000000001E-4</v>
      </c>
      <c r="Z121" t="s">
        <v>2083</v>
      </c>
      <c r="AA121">
        <v>0</v>
      </c>
      <c r="AB121" t="s">
        <v>2027</v>
      </c>
      <c r="AC121" t="s">
        <v>2080</v>
      </c>
    </row>
    <row r="122" spans="24:29">
      <c r="X122" t="s">
        <v>2078</v>
      </c>
      <c r="Y122">
        <v>3.9290000000000001E-4</v>
      </c>
      <c r="Z122" t="s">
        <v>2082</v>
      </c>
      <c r="AA122">
        <v>0</v>
      </c>
      <c r="AB122" t="s">
        <v>2027</v>
      </c>
      <c r="AC122" t="s">
        <v>2080</v>
      </c>
    </row>
    <row r="123" spans="24:29">
      <c r="X123" t="s">
        <v>2088</v>
      </c>
      <c r="Y123">
        <v>1E-3</v>
      </c>
      <c r="Z123" t="s">
        <v>2084</v>
      </c>
      <c r="AA123">
        <v>0</v>
      </c>
      <c r="AB123" t="s">
        <v>2027</v>
      </c>
      <c r="AC123" t="s">
        <v>2080</v>
      </c>
    </row>
    <row r="124" spans="24:29">
      <c r="X124" t="s">
        <v>2088</v>
      </c>
      <c r="Y124">
        <v>1.341E-3</v>
      </c>
      <c r="Z124" t="s">
        <v>2082</v>
      </c>
      <c r="AA124">
        <v>0</v>
      </c>
      <c r="AB124" t="s">
        <v>2027</v>
      </c>
      <c r="AC124" t="s">
        <v>2080</v>
      </c>
    </row>
    <row r="125" spans="24:29">
      <c r="X125" t="s">
        <v>2081</v>
      </c>
      <c r="Y125">
        <v>1.818E-3</v>
      </c>
      <c r="Z125" t="s">
        <v>2082</v>
      </c>
      <c r="AA125">
        <v>0</v>
      </c>
      <c r="AB125" t="s">
        <v>2027</v>
      </c>
      <c r="AC125" t="s">
        <v>2080</v>
      </c>
    </row>
    <row r="126" spans="24:29">
      <c r="X126" t="s">
        <v>2079</v>
      </c>
      <c r="Y126">
        <v>1.6670000000000001E-2</v>
      </c>
      <c r="Z126" t="s">
        <v>2081</v>
      </c>
      <c r="AA126">
        <v>0</v>
      </c>
      <c r="AB126" t="s">
        <v>2027</v>
      </c>
      <c r="AC126" t="s">
        <v>2080</v>
      </c>
    </row>
    <row r="127" spans="24:29">
      <c r="X127" t="s">
        <v>2079</v>
      </c>
      <c r="Y127">
        <v>2.2599999999999999E-2</v>
      </c>
      <c r="Z127" t="s">
        <v>2084</v>
      </c>
      <c r="AA127">
        <v>0</v>
      </c>
      <c r="AB127" t="s">
        <v>2027</v>
      </c>
      <c r="AC127" t="s">
        <v>2080</v>
      </c>
    </row>
    <row r="128" spans="24:29">
      <c r="X128" t="s">
        <v>2079</v>
      </c>
      <c r="Y128">
        <v>2.2599999999999999E-2</v>
      </c>
      <c r="Z128" t="s">
        <v>2085</v>
      </c>
      <c r="AA128">
        <v>0</v>
      </c>
      <c r="AB128" t="s">
        <v>2027</v>
      </c>
      <c r="AC128" t="s">
        <v>2080</v>
      </c>
    </row>
    <row r="129" spans="24:29">
      <c r="X129" t="s">
        <v>2079</v>
      </c>
      <c r="Y129">
        <v>7.7130000000000004E-2</v>
      </c>
      <c r="Z129" t="s">
        <v>2078</v>
      </c>
      <c r="AA129">
        <v>0</v>
      </c>
      <c r="AB129" t="s">
        <v>2027</v>
      </c>
      <c r="AC129" t="s">
        <v>2080</v>
      </c>
    </row>
    <row r="130" spans="24:29">
      <c r="X130" t="s">
        <v>2086</v>
      </c>
      <c r="Y130">
        <v>0.1782</v>
      </c>
      <c r="Z130" t="s">
        <v>2083</v>
      </c>
      <c r="AA130">
        <v>0</v>
      </c>
      <c r="AB130" t="s">
        <v>2027</v>
      </c>
      <c r="AC130" t="s">
        <v>2080</v>
      </c>
    </row>
    <row r="131" spans="24:29">
      <c r="X131" t="s">
        <v>2078</v>
      </c>
      <c r="Y131">
        <v>0.21609999999999999</v>
      </c>
      <c r="Z131" t="s">
        <v>2081</v>
      </c>
      <c r="AA131">
        <v>0</v>
      </c>
      <c r="AB131" t="s">
        <v>2027</v>
      </c>
      <c r="AC131" t="s">
        <v>2080</v>
      </c>
    </row>
    <row r="132" spans="24:29">
      <c r="X132" t="s">
        <v>2087</v>
      </c>
      <c r="Y132">
        <v>0.2389</v>
      </c>
      <c r="Z132" t="s">
        <v>2083</v>
      </c>
      <c r="AA132">
        <v>0</v>
      </c>
      <c r="AB132" t="s">
        <v>2027</v>
      </c>
      <c r="AC132" t="s">
        <v>2080</v>
      </c>
    </row>
    <row r="133" spans="24:29">
      <c r="X133" t="s">
        <v>2078</v>
      </c>
      <c r="Y133">
        <v>0.29299999999999998</v>
      </c>
      <c r="Z133" t="s">
        <v>2084</v>
      </c>
      <c r="AA133">
        <v>0</v>
      </c>
      <c r="AB133" t="s">
        <v>2027</v>
      </c>
      <c r="AC133" t="s">
        <v>2080</v>
      </c>
    </row>
    <row r="134" spans="24:29">
      <c r="X134" t="s">
        <v>2078</v>
      </c>
      <c r="Y134">
        <v>0.29299999999999998</v>
      </c>
      <c r="Z134" t="s">
        <v>2085</v>
      </c>
      <c r="AA134">
        <v>0</v>
      </c>
      <c r="AB134" t="s">
        <v>2027</v>
      </c>
      <c r="AC134" t="s">
        <v>2080</v>
      </c>
    </row>
    <row r="135" spans="24:29">
      <c r="X135" t="s">
        <v>2088</v>
      </c>
      <c r="Y135">
        <v>0.73760000000000003</v>
      </c>
      <c r="Z135" t="s">
        <v>2081</v>
      </c>
      <c r="AA135">
        <v>0</v>
      </c>
      <c r="AB135" t="s">
        <v>2027</v>
      </c>
      <c r="AC135" t="s">
        <v>2080</v>
      </c>
    </row>
    <row r="136" spans="24:29">
      <c r="X136" t="s">
        <v>2086</v>
      </c>
      <c r="Y136">
        <v>0.74570000000000003</v>
      </c>
      <c r="Z136" t="s">
        <v>2084</v>
      </c>
      <c r="AA136">
        <v>0</v>
      </c>
      <c r="AB136" t="s">
        <v>2027</v>
      </c>
      <c r="AC136" t="s">
        <v>2080</v>
      </c>
    </row>
    <row r="137" spans="24:29">
      <c r="X137" t="s">
        <v>2087</v>
      </c>
      <c r="Y137">
        <v>1.341</v>
      </c>
      <c r="Z137" t="s">
        <v>2082</v>
      </c>
      <c r="AA137">
        <v>0</v>
      </c>
      <c r="AB137" t="s">
        <v>2027</v>
      </c>
      <c r="AC137" t="s">
        <v>2080</v>
      </c>
    </row>
    <row r="138" spans="24:29">
      <c r="X138" t="s">
        <v>2081</v>
      </c>
      <c r="Y138">
        <v>1.3560000000000001</v>
      </c>
      <c r="Z138" t="s">
        <v>2084</v>
      </c>
      <c r="AA138">
        <v>0</v>
      </c>
      <c r="AB138" t="s">
        <v>2027</v>
      </c>
      <c r="AC138" t="s">
        <v>2080</v>
      </c>
    </row>
    <row r="139" spans="24:29">
      <c r="X139" t="s">
        <v>2081</v>
      </c>
      <c r="Y139">
        <v>1.3560000000000001</v>
      </c>
      <c r="Z139" t="s">
        <v>2085</v>
      </c>
      <c r="AA139">
        <v>0</v>
      </c>
      <c r="AB139" t="s">
        <v>2027</v>
      </c>
      <c r="AC139" t="s">
        <v>2080</v>
      </c>
    </row>
    <row r="140" spans="24:29">
      <c r="X140" t="s">
        <v>2088</v>
      </c>
      <c r="Y140">
        <v>3.4129999999999998</v>
      </c>
      <c r="Z140" t="s">
        <v>2078</v>
      </c>
      <c r="AA140">
        <v>0</v>
      </c>
      <c r="AB140" t="s">
        <v>2027</v>
      </c>
      <c r="AC140" t="s">
        <v>2080</v>
      </c>
    </row>
    <row r="141" spans="24:29">
      <c r="X141" t="s">
        <v>2083</v>
      </c>
      <c r="Y141">
        <v>4.1859999999999999</v>
      </c>
      <c r="Z141" t="s">
        <v>2084</v>
      </c>
      <c r="AA141">
        <v>0</v>
      </c>
      <c r="AB141" t="s">
        <v>2027</v>
      </c>
      <c r="AC141" t="s">
        <v>2080</v>
      </c>
    </row>
    <row r="142" spans="24:29">
      <c r="X142" t="s">
        <v>2081</v>
      </c>
      <c r="Y142">
        <v>4.6280000000000001</v>
      </c>
      <c r="Z142" t="s">
        <v>2078</v>
      </c>
      <c r="AA142">
        <v>0</v>
      </c>
      <c r="AB142" t="s">
        <v>2027</v>
      </c>
      <c r="AC142" t="s">
        <v>2080</v>
      </c>
    </row>
    <row r="143" spans="24:29">
      <c r="X143" t="s">
        <v>2083</v>
      </c>
      <c r="Y143">
        <v>5.6130000000000004</v>
      </c>
      <c r="Z143" t="s">
        <v>2082</v>
      </c>
      <c r="AA143">
        <v>0</v>
      </c>
      <c r="AB143" t="s">
        <v>2027</v>
      </c>
      <c r="AC143" t="s">
        <v>2080</v>
      </c>
    </row>
    <row r="144" spans="24:29">
      <c r="X144" t="s">
        <v>2078</v>
      </c>
      <c r="Y144">
        <v>12.97</v>
      </c>
      <c r="Z144" t="s">
        <v>2079</v>
      </c>
      <c r="AA144">
        <v>0</v>
      </c>
      <c r="AB144" t="s">
        <v>2027</v>
      </c>
      <c r="AC144" t="s">
        <v>2080</v>
      </c>
    </row>
    <row r="145" spans="24:29">
      <c r="X145" t="s">
        <v>2088</v>
      </c>
      <c r="Y145">
        <v>44.25</v>
      </c>
      <c r="Z145" t="s">
        <v>2079</v>
      </c>
      <c r="AA145">
        <v>0</v>
      </c>
      <c r="AB145" t="s">
        <v>2027</v>
      </c>
      <c r="AC145" t="s">
        <v>2080</v>
      </c>
    </row>
    <row r="146" spans="24:29">
      <c r="X146" t="s">
        <v>2081</v>
      </c>
      <c r="Y146">
        <v>60</v>
      </c>
      <c r="Z146" t="s">
        <v>2079</v>
      </c>
      <c r="AA146">
        <v>0</v>
      </c>
      <c r="AB146" t="s">
        <v>2027</v>
      </c>
      <c r="AC146" t="s">
        <v>2080</v>
      </c>
    </row>
    <row r="147" spans="24:29">
      <c r="X147" t="s">
        <v>2086</v>
      </c>
      <c r="Y147">
        <v>550</v>
      </c>
      <c r="Z147" t="s">
        <v>2081</v>
      </c>
      <c r="AA147">
        <v>0</v>
      </c>
      <c r="AB147" t="s">
        <v>2027</v>
      </c>
      <c r="AC147" t="s">
        <v>2080</v>
      </c>
    </row>
    <row r="148" spans="24:29">
      <c r="X148" t="s">
        <v>2087</v>
      </c>
      <c r="Y148">
        <v>737.6</v>
      </c>
      <c r="Z148" t="s">
        <v>2081</v>
      </c>
      <c r="AA148">
        <v>0</v>
      </c>
      <c r="AB148" t="s">
        <v>2027</v>
      </c>
      <c r="AC148" t="s">
        <v>2080</v>
      </c>
    </row>
    <row r="149" spans="24:29">
      <c r="X149" t="s">
        <v>2086</v>
      </c>
      <c r="Y149">
        <v>745.7</v>
      </c>
      <c r="Z149" t="s">
        <v>2085</v>
      </c>
      <c r="AA149">
        <v>0</v>
      </c>
      <c r="AB149" t="s">
        <v>2027</v>
      </c>
      <c r="AC149" t="s">
        <v>2080</v>
      </c>
    </row>
    <row r="150" spans="24:29">
      <c r="X150" t="s">
        <v>2087</v>
      </c>
      <c r="Y150">
        <v>1000</v>
      </c>
      <c r="Z150" t="s">
        <v>2085</v>
      </c>
      <c r="AA150">
        <v>0</v>
      </c>
      <c r="AB150" t="s">
        <v>2027</v>
      </c>
      <c r="AC150" t="s">
        <v>2080</v>
      </c>
    </row>
    <row r="151" spans="24:29">
      <c r="X151" t="s">
        <v>2086</v>
      </c>
      <c r="Y151">
        <v>2545</v>
      </c>
      <c r="Z151" t="s">
        <v>2078</v>
      </c>
      <c r="AA151">
        <v>0</v>
      </c>
      <c r="AB151" t="s">
        <v>2027</v>
      </c>
      <c r="AC151" t="s">
        <v>2080</v>
      </c>
    </row>
    <row r="152" spans="24:29">
      <c r="X152" t="s">
        <v>2083</v>
      </c>
      <c r="Y152">
        <v>3087</v>
      </c>
      <c r="Z152" t="s">
        <v>2081</v>
      </c>
      <c r="AA152">
        <v>0</v>
      </c>
      <c r="AB152" t="s">
        <v>2027</v>
      </c>
      <c r="AC152" t="s">
        <v>2080</v>
      </c>
    </row>
    <row r="153" spans="24:29">
      <c r="X153" t="s">
        <v>2087</v>
      </c>
      <c r="Y153">
        <v>3413</v>
      </c>
      <c r="Z153" t="s">
        <v>2078</v>
      </c>
      <c r="AA153">
        <v>0</v>
      </c>
      <c r="AB153" t="s">
        <v>2027</v>
      </c>
      <c r="AC153" t="s">
        <v>2080</v>
      </c>
    </row>
    <row r="154" spans="24:29">
      <c r="X154" t="s">
        <v>2083</v>
      </c>
      <c r="Y154">
        <v>4186</v>
      </c>
      <c r="Z154" t="s">
        <v>2085</v>
      </c>
      <c r="AA154">
        <v>0</v>
      </c>
      <c r="AB154" t="s">
        <v>2027</v>
      </c>
      <c r="AC154" t="s">
        <v>2080</v>
      </c>
    </row>
    <row r="155" spans="24:29">
      <c r="X155" t="s">
        <v>2083</v>
      </c>
      <c r="Y155">
        <v>14290</v>
      </c>
      <c r="Z155" t="s">
        <v>2078</v>
      </c>
      <c r="AA155">
        <v>0</v>
      </c>
      <c r="AB155" t="s">
        <v>2027</v>
      </c>
      <c r="AC155" t="s">
        <v>2080</v>
      </c>
    </row>
    <row r="156" spans="24:29">
      <c r="X156" t="s">
        <v>2086</v>
      </c>
      <c r="Y156">
        <v>33000</v>
      </c>
      <c r="Z156" t="s">
        <v>2079</v>
      </c>
      <c r="AA156">
        <v>0</v>
      </c>
      <c r="AB156" t="s">
        <v>2027</v>
      </c>
      <c r="AC156" t="s">
        <v>2080</v>
      </c>
    </row>
    <row r="157" spans="24:29">
      <c r="X157" t="s">
        <v>2087</v>
      </c>
      <c r="Y157">
        <v>44250</v>
      </c>
      <c r="Z157" t="s">
        <v>2079</v>
      </c>
      <c r="AA157">
        <v>0</v>
      </c>
      <c r="AB157" t="s">
        <v>2027</v>
      </c>
      <c r="AC157" t="s">
        <v>2080</v>
      </c>
    </row>
    <row r="158" spans="24:29">
      <c r="X158" t="s">
        <v>2083</v>
      </c>
      <c r="Y158">
        <v>185200</v>
      </c>
      <c r="Z158" t="s">
        <v>2079</v>
      </c>
      <c r="AA158">
        <v>0</v>
      </c>
      <c r="AB158" t="s">
        <v>2027</v>
      </c>
      <c r="AC158" t="s">
        <v>2080</v>
      </c>
    </row>
    <row r="159" spans="24:29">
      <c r="X159" t="s">
        <v>2061</v>
      </c>
      <c r="Y159">
        <v>9.8690000000000003E-7</v>
      </c>
      <c r="Z159" t="s">
        <v>2069</v>
      </c>
      <c r="AA159">
        <v>0</v>
      </c>
      <c r="AB159" t="s">
        <v>2027</v>
      </c>
      <c r="AC159" t="s">
        <v>2062</v>
      </c>
    </row>
    <row r="160" spans="24:29">
      <c r="X160" t="s">
        <v>2066</v>
      </c>
      <c r="Y160">
        <v>9.8690000000000003E-7</v>
      </c>
      <c r="Z160" t="s">
        <v>2069</v>
      </c>
      <c r="AA160">
        <v>0</v>
      </c>
      <c r="AB160" t="s">
        <v>2027</v>
      </c>
      <c r="AC160" t="s">
        <v>2062</v>
      </c>
    </row>
    <row r="161" spans="24:29">
      <c r="X161" t="s">
        <v>2061</v>
      </c>
      <c r="Y161">
        <v>1.45E-5</v>
      </c>
      <c r="Z161" t="s">
        <v>2067</v>
      </c>
      <c r="AA161">
        <v>0</v>
      </c>
      <c r="AB161" t="s">
        <v>2027</v>
      </c>
      <c r="AC161" t="s">
        <v>2062</v>
      </c>
    </row>
    <row r="162" spans="24:29">
      <c r="X162" t="s">
        <v>2061</v>
      </c>
      <c r="Y162">
        <v>2.953E-5</v>
      </c>
      <c r="Z162" t="s">
        <v>2064</v>
      </c>
      <c r="AA162">
        <v>0</v>
      </c>
      <c r="AB162" t="s">
        <v>2027</v>
      </c>
      <c r="AC162" t="s">
        <v>2062</v>
      </c>
    </row>
    <row r="163" spans="24:29">
      <c r="X163" t="s">
        <v>2065</v>
      </c>
      <c r="Y163">
        <v>9.6780000000000005E-5</v>
      </c>
      <c r="Z163" t="s">
        <v>2069</v>
      </c>
      <c r="AA163">
        <v>0</v>
      </c>
      <c r="AB163" t="s">
        <v>2027</v>
      </c>
      <c r="AC163" t="s">
        <v>2062</v>
      </c>
    </row>
    <row r="164" spans="24:29">
      <c r="X164" t="s">
        <v>2066</v>
      </c>
      <c r="Y164">
        <v>1.45E-4</v>
      </c>
      <c r="Z164" t="s">
        <v>2067</v>
      </c>
      <c r="AA164">
        <v>0</v>
      </c>
      <c r="AB164" t="s">
        <v>2027</v>
      </c>
      <c r="AC164" t="s">
        <v>2062</v>
      </c>
    </row>
    <row r="165" spans="24:29">
      <c r="X165" t="s">
        <v>2066</v>
      </c>
      <c r="Y165">
        <v>2.9530000000000002E-4</v>
      </c>
      <c r="Z165" t="s">
        <v>2064</v>
      </c>
      <c r="AA165">
        <v>0</v>
      </c>
      <c r="AB165" t="s">
        <v>2027</v>
      </c>
      <c r="AC165" t="s">
        <v>2062</v>
      </c>
    </row>
    <row r="166" spans="24:29">
      <c r="X166" t="s">
        <v>2061</v>
      </c>
      <c r="Y166">
        <v>4.015E-4</v>
      </c>
      <c r="Z166" t="s">
        <v>2063</v>
      </c>
      <c r="AA166">
        <v>0</v>
      </c>
      <c r="AB166" t="s">
        <v>2027</v>
      </c>
      <c r="AC166" t="s">
        <v>2062</v>
      </c>
    </row>
    <row r="167" spans="24:29">
      <c r="X167" t="s">
        <v>2068</v>
      </c>
      <c r="Y167">
        <v>4.7249999999999999E-4</v>
      </c>
      <c r="Z167" t="s">
        <v>2069</v>
      </c>
      <c r="AA167">
        <v>0</v>
      </c>
      <c r="AB167" t="s">
        <v>2027</v>
      </c>
      <c r="AC167" t="s">
        <v>2062</v>
      </c>
    </row>
    <row r="168" spans="24:29">
      <c r="X168" t="s">
        <v>2065</v>
      </c>
      <c r="Y168">
        <v>1.4220000000000001E-3</v>
      </c>
      <c r="Z168" t="s">
        <v>2067</v>
      </c>
      <c r="AA168">
        <v>0</v>
      </c>
      <c r="AB168" t="s">
        <v>2027</v>
      </c>
      <c r="AC168" t="s">
        <v>2062</v>
      </c>
    </row>
    <row r="169" spans="24:29">
      <c r="X169" t="s">
        <v>2061</v>
      </c>
      <c r="Y169">
        <v>2.0890000000000001E-3</v>
      </c>
      <c r="Z169" t="s">
        <v>2068</v>
      </c>
      <c r="AA169">
        <v>0</v>
      </c>
      <c r="AB169" t="s">
        <v>2027</v>
      </c>
      <c r="AC169" t="s">
        <v>2062</v>
      </c>
    </row>
    <row r="170" spans="24:29">
      <c r="X170" t="s">
        <v>2063</v>
      </c>
      <c r="Y170">
        <v>2.4580000000000001E-3</v>
      </c>
      <c r="Z170" t="s">
        <v>2069</v>
      </c>
      <c r="AA170">
        <v>0</v>
      </c>
      <c r="AB170" t="s">
        <v>2027</v>
      </c>
      <c r="AC170" t="s">
        <v>2062</v>
      </c>
    </row>
    <row r="171" spans="24:29">
      <c r="X171" t="s">
        <v>2065</v>
      </c>
      <c r="Y171">
        <v>2.8960000000000001E-3</v>
      </c>
      <c r="Z171" t="s">
        <v>2064</v>
      </c>
      <c r="AA171">
        <v>0</v>
      </c>
      <c r="AB171" t="s">
        <v>2027</v>
      </c>
      <c r="AC171" t="s">
        <v>2062</v>
      </c>
    </row>
    <row r="172" spans="24:29">
      <c r="X172" t="s">
        <v>2066</v>
      </c>
      <c r="Y172">
        <v>4.0150000000000003E-3</v>
      </c>
      <c r="Z172" t="s">
        <v>2063</v>
      </c>
      <c r="AA172">
        <v>0</v>
      </c>
      <c r="AB172" t="s">
        <v>2027</v>
      </c>
      <c r="AC172" t="s">
        <v>2062</v>
      </c>
    </row>
    <row r="173" spans="24:29">
      <c r="X173" t="s">
        <v>2068</v>
      </c>
      <c r="Y173">
        <v>6.9439999999999997E-3</v>
      </c>
      <c r="Z173" t="s">
        <v>2067</v>
      </c>
      <c r="AA173">
        <v>0</v>
      </c>
      <c r="AB173" t="s">
        <v>2027</v>
      </c>
      <c r="AC173" t="s">
        <v>2062</v>
      </c>
    </row>
    <row r="174" spans="24:29">
      <c r="X174" t="s">
        <v>2061</v>
      </c>
      <c r="Y174">
        <v>1.0200000000000001E-2</v>
      </c>
      <c r="Z174" t="s">
        <v>2065</v>
      </c>
      <c r="AA174">
        <v>0</v>
      </c>
      <c r="AB174" t="s">
        <v>2027</v>
      </c>
      <c r="AC174" t="s">
        <v>2062</v>
      </c>
    </row>
    <row r="175" spans="24:29">
      <c r="X175" t="s">
        <v>2068</v>
      </c>
      <c r="Y175">
        <v>1.414E-2</v>
      </c>
      <c r="Z175" t="s">
        <v>2064</v>
      </c>
      <c r="AA175">
        <v>0</v>
      </c>
      <c r="AB175" t="s">
        <v>2027</v>
      </c>
      <c r="AC175" t="s">
        <v>2062</v>
      </c>
    </row>
    <row r="176" spans="24:29">
      <c r="X176" t="s">
        <v>2066</v>
      </c>
      <c r="Y176">
        <v>2.0889999999999999E-2</v>
      </c>
      <c r="Z176" t="s">
        <v>2068</v>
      </c>
      <c r="AA176">
        <v>0</v>
      </c>
      <c r="AB176" t="s">
        <v>2027</v>
      </c>
      <c r="AC176" t="s">
        <v>2062</v>
      </c>
    </row>
    <row r="177" spans="24:29">
      <c r="X177" t="s">
        <v>2064</v>
      </c>
      <c r="Y177">
        <v>3.3430000000000001E-2</v>
      </c>
      <c r="Z177" t="s">
        <v>2069</v>
      </c>
      <c r="AA177">
        <v>0</v>
      </c>
      <c r="AB177" t="s">
        <v>2027</v>
      </c>
      <c r="AC177" t="s">
        <v>2062</v>
      </c>
    </row>
    <row r="178" spans="24:29">
      <c r="X178" t="s">
        <v>2063</v>
      </c>
      <c r="Y178">
        <v>3.6130000000000002E-2</v>
      </c>
      <c r="Z178" t="s">
        <v>2067</v>
      </c>
      <c r="AA178">
        <v>0</v>
      </c>
      <c r="AB178" t="s">
        <v>2027</v>
      </c>
      <c r="AC178" t="s">
        <v>2062</v>
      </c>
    </row>
    <row r="179" spans="24:29">
      <c r="X179" t="s">
        <v>2065</v>
      </c>
      <c r="Y179">
        <v>3.9370000000000002E-2</v>
      </c>
      <c r="Z179" t="s">
        <v>2063</v>
      </c>
      <c r="AA179">
        <v>0</v>
      </c>
      <c r="AB179" t="s">
        <v>2027</v>
      </c>
      <c r="AC179" t="s">
        <v>2062</v>
      </c>
    </row>
    <row r="180" spans="24:29">
      <c r="X180" t="s">
        <v>2067</v>
      </c>
      <c r="Y180">
        <v>6.8049999999999999E-2</v>
      </c>
      <c r="Z180" t="s">
        <v>2069</v>
      </c>
      <c r="AA180">
        <v>0</v>
      </c>
      <c r="AB180" t="s">
        <v>2027</v>
      </c>
      <c r="AC180" t="s">
        <v>2062</v>
      </c>
    </row>
    <row r="181" spans="24:29">
      <c r="X181" t="s">
        <v>2063</v>
      </c>
      <c r="Y181">
        <v>7.3539999999999994E-2</v>
      </c>
      <c r="Z181" t="s">
        <v>2064</v>
      </c>
      <c r="AA181">
        <v>0</v>
      </c>
      <c r="AB181" t="s">
        <v>2027</v>
      </c>
      <c r="AC181" t="s">
        <v>2062</v>
      </c>
    </row>
    <row r="182" spans="24:29">
      <c r="X182" t="s">
        <v>2061</v>
      </c>
      <c r="Y182">
        <v>0.1</v>
      </c>
      <c r="Z182" t="s">
        <v>2066</v>
      </c>
      <c r="AA182">
        <v>0</v>
      </c>
      <c r="AB182" t="s">
        <v>2027</v>
      </c>
      <c r="AC182" t="s">
        <v>2062</v>
      </c>
    </row>
    <row r="183" spans="24:29">
      <c r="X183" t="s">
        <v>2066</v>
      </c>
      <c r="Y183">
        <v>0.10199999999999999</v>
      </c>
      <c r="Z183" t="s">
        <v>2065</v>
      </c>
      <c r="AA183">
        <v>0</v>
      </c>
      <c r="AB183" t="s">
        <v>2027</v>
      </c>
      <c r="AC183" t="s">
        <v>2062</v>
      </c>
    </row>
    <row r="184" spans="24:29">
      <c r="X184" t="s">
        <v>2068</v>
      </c>
      <c r="Y184">
        <v>0.19220000000000001</v>
      </c>
      <c r="Z184" t="s">
        <v>2063</v>
      </c>
      <c r="AA184">
        <v>0</v>
      </c>
      <c r="AB184" t="s">
        <v>2027</v>
      </c>
      <c r="AC184" t="s">
        <v>2062</v>
      </c>
    </row>
    <row r="185" spans="24:29">
      <c r="X185" t="s">
        <v>2065</v>
      </c>
      <c r="Y185">
        <v>0.20480000000000001</v>
      </c>
      <c r="Z185" t="s">
        <v>2068</v>
      </c>
      <c r="AA185">
        <v>0</v>
      </c>
      <c r="AB185" t="s">
        <v>2027</v>
      </c>
      <c r="AC185" t="s">
        <v>2062</v>
      </c>
    </row>
    <row r="186" spans="24:29">
      <c r="X186" t="s">
        <v>2064</v>
      </c>
      <c r="Y186">
        <v>0.49120000000000003</v>
      </c>
      <c r="Z186" t="s">
        <v>2067</v>
      </c>
      <c r="AA186">
        <v>0</v>
      </c>
      <c r="AB186" t="s">
        <v>2027</v>
      </c>
      <c r="AC186" t="s">
        <v>2062</v>
      </c>
    </row>
    <row r="187" spans="24:29">
      <c r="X187" t="s">
        <v>2067</v>
      </c>
      <c r="Y187">
        <v>2.036</v>
      </c>
      <c r="Z187" t="s">
        <v>2064</v>
      </c>
      <c r="AA187">
        <v>0</v>
      </c>
      <c r="AB187" t="s">
        <v>2027</v>
      </c>
      <c r="AC187" t="s">
        <v>2062</v>
      </c>
    </row>
    <row r="188" spans="24:29">
      <c r="X188" t="s">
        <v>2068</v>
      </c>
      <c r="Y188">
        <v>4.8819999999999997</v>
      </c>
      <c r="Z188" t="s">
        <v>2065</v>
      </c>
      <c r="AA188">
        <v>0</v>
      </c>
      <c r="AB188" t="s">
        <v>2027</v>
      </c>
      <c r="AC188" t="s">
        <v>2062</v>
      </c>
    </row>
    <row r="189" spans="24:29">
      <c r="X189" t="s">
        <v>2063</v>
      </c>
      <c r="Y189">
        <v>5.202</v>
      </c>
      <c r="Z189" t="s">
        <v>2068</v>
      </c>
      <c r="AA189">
        <v>0</v>
      </c>
      <c r="AB189" t="s">
        <v>2027</v>
      </c>
      <c r="AC189" t="s">
        <v>2062</v>
      </c>
    </row>
    <row r="190" spans="24:29">
      <c r="X190" t="s">
        <v>2065</v>
      </c>
      <c r="Y190">
        <v>9.8070000000000004</v>
      </c>
      <c r="Z190" t="s">
        <v>2066</v>
      </c>
      <c r="AA190">
        <v>0</v>
      </c>
      <c r="AB190" t="s">
        <v>2027</v>
      </c>
      <c r="AC190" t="s">
        <v>2062</v>
      </c>
    </row>
    <row r="191" spans="24:29">
      <c r="X191" t="s">
        <v>2066</v>
      </c>
      <c r="Y191">
        <v>10</v>
      </c>
      <c r="Z191" t="s">
        <v>2061</v>
      </c>
      <c r="AA191">
        <v>0</v>
      </c>
      <c r="AB191" t="s">
        <v>2027</v>
      </c>
      <c r="AC191" t="s">
        <v>2062</v>
      </c>
    </row>
    <row r="192" spans="24:29">
      <c r="X192" t="s">
        <v>2064</v>
      </c>
      <c r="Y192">
        <v>13.597</v>
      </c>
      <c r="Z192" t="s">
        <v>2063</v>
      </c>
      <c r="AA192">
        <v>0</v>
      </c>
      <c r="AB192" t="s">
        <v>2027</v>
      </c>
      <c r="AC192" t="s">
        <v>2062</v>
      </c>
    </row>
    <row r="193" spans="24:29">
      <c r="X193" t="s">
        <v>2060</v>
      </c>
      <c r="Y193">
        <v>14.696</v>
      </c>
      <c r="Z193" t="s">
        <v>2067</v>
      </c>
      <c r="AA193">
        <v>0</v>
      </c>
      <c r="AB193" t="s">
        <v>2027</v>
      </c>
      <c r="AC193" t="s">
        <v>2062</v>
      </c>
    </row>
    <row r="194" spans="24:29">
      <c r="X194" t="s">
        <v>2063</v>
      </c>
      <c r="Y194">
        <v>25.4</v>
      </c>
      <c r="Z194" t="s">
        <v>2065</v>
      </c>
      <c r="AA194">
        <v>0</v>
      </c>
      <c r="AB194" t="s">
        <v>2027</v>
      </c>
      <c r="AC194" t="s">
        <v>2062</v>
      </c>
    </row>
    <row r="195" spans="24:29">
      <c r="X195" t="s">
        <v>2067</v>
      </c>
      <c r="Y195">
        <v>27.68</v>
      </c>
      <c r="Z195" t="s">
        <v>2063</v>
      </c>
      <c r="AA195">
        <v>0</v>
      </c>
      <c r="AB195" t="s">
        <v>2027</v>
      </c>
      <c r="AC195" t="s">
        <v>2062</v>
      </c>
    </row>
    <row r="196" spans="24:29">
      <c r="X196" t="s">
        <v>2060</v>
      </c>
      <c r="Y196">
        <v>29.92</v>
      </c>
      <c r="Z196" t="s">
        <v>2064</v>
      </c>
      <c r="AA196">
        <v>0</v>
      </c>
      <c r="AB196" t="s">
        <v>2027</v>
      </c>
      <c r="AC196" t="s">
        <v>2062</v>
      </c>
    </row>
    <row r="197" spans="24:29">
      <c r="X197" t="s">
        <v>2068</v>
      </c>
      <c r="Y197">
        <v>47.88</v>
      </c>
      <c r="Z197" t="s">
        <v>2066</v>
      </c>
      <c r="AA197">
        <v>0</v>
      </c>
      <c r="AB197" t="s">
        <v>2027</v>
      </c>
      <c r="AC197" t="s">
        <v>2062</v>
      </c>
    </row>
    <row r="198" spans="24:29">
      <c r="X198" t="s">
        <v>2064</v>
      </c>
      <c r="Y198">
        <v>70.739999999999995</v>
      </c>
      <c r="Z198" t="s">
        <v>2068</v>
      </c>
      <c r="AA198">
        <v>0</v>
      </c>
      <c r="AB198" t="s">
        <v>2027</v>
      </c>
      <c r="AC198" t="s">
        <v>2062</v>
      </c>
    </row>
    <row r="199" spans="24:29">
      <c r="X199" t="s">
        <v>2065</v>
      </c>
      <c r="Y199">
        <v>98.07</v>
      </c>
      <c r="Z199" t="s">
        <v>2061</v>
      </c>
      <c r="AA199">
        <v>0</v>
      </c>
      <c r="AB199" t="s">
        <v>2027</v>
      </c>
      <c r="AC199" t="s">
        <v>2062</v>
      </c>
    </row>
    <row r="200" spans="24:29">
      <c r="X200" t="s">
        <v>2067</v>
      </c>
      <c r="Y200">
        <v>144</v>
      </c>
      <c r="Z200" t="s">
        <v>2068</v>
      </c>
      <c r="AA200">
        <v>0</v>
      </c>
      <c r="AB200" t="s">
        <v>2027</v>
      </c>
      <c r="AC200" t="s">
        <v>2062</v>
      </c>
    </row>
    <row r="201" spans="24:29">
      <c r="X201" t="s">
        <v>2063</v>
      </c>
      <c r="Y201">
        <v>249.1</v>
      </c>
      <c r="Z201" t="s">
        <v>2066</v>
      </c>
      <c r="AA201">
        <v>0</v>
      </c>
      <c r="AB201" t="s">
        <v>2027</v>
      </c>
      <c r="AC201" t="s">
        <v>2062</v>
      </c>
    </row>
    <row r="202" spans="24:29">
      <c r="X202" t="s">
        <v>2064</v>
      </c>
      <c r="Y202">
        <v>345.4</v>
      </c>
      <c r="Z202" t="s">
        <v>2065</v>
      </c>
      <c r="AA202">
        <v>0</v>
      </c>
      <c r="AB202" t="s">
        <v>2027</v>
      </c>
      <c r="AC202" t="s">
        <v>2062</v>
      </c>
    </row>
    <row r="203" spans="24:29">
      <c r="X203" t="s">
        <v>2060</v>
      </c>
      <c r="Y203">
        <v>406.8</v>
      </c>
      <c r="Z203" t="s">
        <v>2063</v>
      </c>
      <c r="AA203">
        <v>0</v>
      </c>
      <c r="AB203" t="s">
        <v>2027</v>
      </c>
      <c r="AC203" t="s">
        <v>2062</v>
      </c>
    </row>
    <row r="204" spans="24:29">
      <c r="X204" t="s">
        <v>2068</v>
      </c>
      <c r="Y204">
        <v>478.8</v>
      </c>
      <c r="Z204" t="s">
        <v>2061</v>
      </c>
      <c r="AA204">
        <v>0</v>
      </c>
      <c r="AB204" t="s">
        <v>2027</v>
      </c>
      <c r="AC204" t="s">
        <v>2062</v>
      </c>
    </row>
    <row r="205" spans="24:29">
      <c r="X205" t="s">
        <v>2067</v>
      </c>
      <c r="Y205">
        <v>703.1</v>
      </c>
      <c r="Z205" t="s">
        <v>2065</v>
      </c>
      <c r="AA205">
        <v>0</v>
      </c>
      <c r="AB205" t="s">
        <v>2027</v>
      </c>
      <c r="AC205" t="s">
        <v>2062</v>
      </c>
    </row>
    <row r="206" spans="24:29">
      <c r="X206" t="s">
        <v>2060</v>
      </c>
      <c r="Y206">
        <v>2116</v>
      </c>
      <c r="Z206" t="s">
        <v>2068</v>
      </c>
      <c r="AA206">
        <v>0</v>
      </c>
      <c r="AB206" t="s">
        <v>2027</v>
      </c>
      <c r="AC206" t="s">
        <v>2062</v>
      </c>
    </row>
    <row r="207" spans="24:29">
      <c r="X207" t="s">
        <v>2063</v>
      </c>
      <c r="Y207">
        <v>2491</v>
      </c>
      <c r="Z207" t="s">
        <v>2061</v>
      </c>
      <c r="AA207">
        <v>0</v>
      </c>
      <c r="AB207" t="s">
        <v>2027</v>
      </c>
      <c r="AC207" t="s">
        <v>2062</v>
      </c>
    </row>
    <row r="208" spans="24:29">
      <c r="X208" t="s">
        <v>2064</v>
      </c>
      <c r="Y208">
        <v>3386</v>
      </c>
      <c r="Z208" t="s">
        <v>2066</v>
      </c>
      <c r="AA208">
        <v>0</v>
      </c>
      <c r="AB208" t="s">
        <v>2027</v>
      </c>
      <c r="AC208" t="s">
        <v>2062</v>
      </c>
    </row>
    <row r="209" spans="24:29">
      <c r="X209" t="s">
        <v>2067</v>
      </c>
      <c r="Y209">
        <v>6895</v>
      </c>
      <c r="Z209" t="s">
        <v>2066</v>
      </c>
      <c r="AA209">
        <v>0</v>
      </c>
      <c r="AB209" t="s">
        <v>2027</v>
      </c>
      <c r="AC209" t="s">
        <v>2062</v>
      </c>
    </row>
    <row r="210" spans="24:29">
      <c r="X210" t="s">
        <v>2060</v>
      </c>
      <c r="Y210">
        <v>10330</v>
      </c>
      <c r="Z210" t="s">
        <v>2065</v>
      </c>
      <c r="AA210">
        <v>0</v>
      </c>
      <c r="AB210" t="s">
        <v>2027</v>
      </c>
      <c r="AC210" t="s">
        <v>2062</v>
      </c>
    </row>
    <row r="211" spans="24:29">
      <c r="X211" t="s">
        <v>2064</v>
      </c>
      <c r="Y211">
        <v>33860</v>
      </c>
      <c r="Z211" t="s">
        <v>2061</v>
      </c>
      <c r="AA211">
        <v>0</v>
      </c>
      <c r="AB211" t="s">
        <v>2027</v>
      </c>
      <c r="AC211" t="s">
        <v>2062</v>
      </c>
    </row>
    <row r="212" spans="24:29">
      <c r="X212" t="s">
        <v>2067</v>
      </c>
      <c r="Y212">
        <v>68950</v>
      </c>
      <c r="Z212" t="s">
        <v>2061</v>
      </c>
      <c r="AA212">
        <v>0</v>
      </c>
      <c r="AB212" t="s">
        <v>2027</v>
      </c>
      <c r="AC212" t="s">
        <v>2062</v>
      </c>
    </row>
    <row r="213" spans="24:29">
      <c r="X213" t="s">
        <v>2060</v>
      </c>
      <c r="Y213">
        <v>101300</v>
      </c>
      <c r="Z213" t="s">
        <v>2066</v>
      </c>
      <c r="AA213">
        <v>0</v>
      </c>
      <c r="AB213" t="s">
        <v>2027</v>
      </c>
      <c r="AC213" t="s">
        <v>2062</v>
      </c>
    </row>
    <row r="214" spans="24:29">
      <c r="X214" t="s">
        <v>2060</v>
      </c>
      <c r="Y214">
        <v>1013000</v>
      </c>
      <c r="Z214" t="s">
        <v>2061</v>
      </c>
      <c r="AA214">
        <v>0</v>
      </c>
      <c r="AB214" t="s">
        <v>2027</v>
      </c>
      <c r="AC214" t="s">
        <v>2062</v>
      </c>
    </row>
    <row r="215" spans="24:29">
      <c r="X215" t="s">
        <v>2048</v>
      </c>
      <c r="Y215">
        <v>0.27779999999999999</v>
      </c>
      <c r="Z215" t="s">
        <v>2050</v>
      </c>
      <c r="AA215">
        <v>0</v>
      </c>
      <c r="AB215" t="s">
        <v>2027</v>
      </c>
      <c r="AC215" t="s">
        <v>2049</v>
      </c>
    </row>
    <row r="216" spans="24:29">
      <c r="X216" t="s">
        <v>2047</v>
      </c>
      <c r="Y216">
        <v>0.30480000000000002</v>
      </c>
      <c r="Z216" t="s">
        <v>2050</v>
      </c>
      <c r="AA216">
        <v>0</v>
      </c>
      <c r="AB216" t="s">
        <v>2027</v>
      </c>
      <c r="AC216" t="s">
        <v>2049</v>
      </c>
    </row>
    <row r="217" spans="24:29">
      <c r="X217" t="s">
        <v>2051</v>
      </c>
      <c r="Y217">
        <v>0.44700000000000001</v>
      </c>
      <c r="Z217" t="s">
        <v>2050</v>
      </c>
      <c r="AA217">
        <v>0</v>
      </c>
      <c r="AB217" t="s">
        <v>2027</v>
      </c>
      <c r="AC217" t="s">
        <v>2049</v>
      </c>
    </row>
    <row r="218" spans="24:29">
      <c r="X218" t="s">
        <v>2052</v>
      </c>
      <c r="Y218">
        <v>0.51439999999999997</v>
      </c>
      <c r="Z218" t="s">
        <v>2050</v>
      </c>
      <c r="AA218">
        <v>0</v>
      </c>
      <c r="AB218" t="s">
        <v>2027</v>
      </c>
      <c r="AC218" t="s">
        <v>2049</v>
      </c>
    </row>
    <row r="219" spans="24:29">
      <c r="X219" t="s">
        <v>2048</v>
      </c>
      <c r="Y219">
        <v>0.54</v>
      </c>
      <c r="Z219" t="s">
        <v>2052</v>
      </c>
      <c r="AA219">
        <v>0</v>
      </c>
      <c r="AB219" t="s">
        <v>2027</v>
      </c>
      <c r="AC219" t="s">
        <v>2049</v>
      </c>
    </row>
    <row r="220" spans="24:29">
      <c r="X220" t="s">
        <v>2047</v>
      </c>
      <c r="Y220">
        <v>0.59250000000000003</v>
      </c>
      <c r="Z220" t="s">
        <v>2052</v>
      </c>
      <c r="AA220">
        <v>0</v>
      </c>
      <c r="AB220" t="s">
        <v>2027</v>
      </c>
      <c r="AC220" t="s">
        <v>2049</v>
      </c>
    </row>
    <row r="221" spans="24:29">
      <c r="X221" t="s">
        <v>2048</v>
      </c>
      <c r="Y221">
        <v>0.62139999999999995</v>
      </c>
      <c r="Z221" t="s">
        <v>2051</v>
      </c>
      <c r="AA221">
        <v>0</v>
      </c>
      <c r="AB221" t="s">
        <v>2027</v>
      </c>
      <c r="AC221" t="s">
        <v>2049</v>
      </c>
    </row>
    <row r="222" spans="24:29">
      <c r="X222" t="s">
        <v>2047</v>
      </c>
      <c r="Y222">
        <v>0.68179999999999996</v>
      </c>
      <c r="Z222" t="s">
        <v>2051</v>
      </c>
      <c r="AA222">
        <v>0</v>
      </c>
      <c r="AB222" t="s">
        <v>2027</v>
      </c>
      <c r="AC222" t="s">
        <v>2049</v>
      </c>
    </row>
    <row r="223" spans="24:29">
      <c r="X223" t="s">
        <v>2051</v>
      </c>
      <c r="Y223">
        <v>0.86890000000000001</v>
      </c>
      <c r="Z223" t="s">
        <v>2052</v>
      </c>
      <c r="AA223">
        <v>0</v>
      </c>
      <c r="AB223" t="s">
        <v>2027</v>
      </c>
      <c r="AC223" t="s">
        <v>2049</v>
      </c>
    </row>
    <row r="224" spans="24:29">
      <c r="X224" t="s">
        <v>2048</v>
      </c>
      <c r="Y224">
        <v>0.9113</v>
      </c>
      <c r="Z224" t="s">
        <v>2047</v>
      </c>
      <c r="AA224">
        <v>0</v>
      </c>
      <c r="AB224" t="s">
        <v>2027</v>
      </c>
      <c r="AC224" t="s">
        <v>2049</v>
      </c>
    </row>
    <row r="225" spans="24:29">
      <c r="X225" t="s">
        <v>2047</v>
      </c>
      <c r="Y225">
        <v>1.097</v>
      </c>
      <c r="Z225" t="s">
        <v>2048</v>
      </c>
      <c r="AA225">
        <v>0</v>
      </c>
      <c r="AB225" t="s">
        <v>2027</v>
      </c>
      <c r="AC225" t="s">
        <v>2049</v>
      </c>
    </row>
    <row r="226" spans="24:29">
      <c r="X226" t="s">
        <v>2052</v>
      </c>
      <c r="Y226">
        <v>1.151</v>
      </c>
      <c r="Z226" t="s">
        <v>2051</v>
      </c>
      <c r="AA226">
        <v>0</v>
      </c>
      <c r="AB226" t="s">
        <v>2027</v>
      </c>
      <c r="AC226" t="s">
        <v>2049</v>
      </c>
    </row>
    <row r="227" spans="24:29">
      <c r="X227" t="s">
        <v>2051</v>
      </c>
      <c r="Y227">
        <v>1.4670000000000001</v>
      </c>
      <c r="Z227" t="s">
        <v>2047</v>
      </c>
      <c r="AA227">
        <v>0</v>
      </c>
      <c r="AB227" t="s">
        <v>2027</v>
      </c>
      <c r="AC227" t="s">
        <v>2049</v>
      </c>
    </row>
    <row r="228" spans="24:29">
      <c r="X228" t="s">
        <v>2051</v>
      </c>
      <c r="Y228">
        <v>1.609</v>
      </c>
      <c r="Z228" t="s">
        <v>2048</v>
      </c>
      <c r="AA228">
        <v>0</v>
      </c>
      <c r="AB228" t="s">
        <v>2027</v>
      </c>
      <c r="AC228" t="s">
        <v>2049</v>
      </c>
    </row>
    <row r="229" spans="24:29">
      <c r="X229" t="s">
        <v>2052</v>
      </c>
      <c r="Y229">
        <v>1.6879999999999999</v>
      </c>
      <c r="Z229" t="s">
        <v>2047</v>
      </c>
      <c r="AA229">
        <v>0</v>
      </c>
      <c r="AB229" t="s">
        <v>2027</v>
      </c>
      <c r="AC229" t="s">
        <v>2049</v>
      </c>
    </row>
    <row r="230" spans="24:29">
      <c r="X230" t="s">
        <v>2052</v>
      </c>
      <c r="Y230">
        <v>1.8520000000000001</v>
      </c>
      <c r="Z230" t="s">
        <v>2048</v>
      </c>
      <c r="AA230">
        <v>0</v>
      </c>
      <c r="AB230" t="s">
        <v>2027</v>
      </c>
      <c r="AC230" t="s">
        <v>2049</v>
      </c>
    </row>
    <row r="231" spans="24:29">
      <c r="X231" t="s">
        <v>2050</v>
      </c>
      <c r="Y231">
        <v>1.944</v>
      </c>
      <c r="Z231" t="s">
        <v>2052</v>
      </c>
      <c r="AA231">
        <v>0</v>
      </c>
      <c r="AB231" t="s">
        <v>2027</v>
      </c>
      <c r="AC231" t="s">
        <v>2049</v>
      </c>
    </row>
    <row r="232" spans="24:29">
      <c r="X232" t="s">
        <v>2050</v>
      </c>
      <c r="Y232">
        <v>2.2370000000000001</v>
      </c>
      <c r="Z232" t="s">
        <v>2051</v>
      </c>
      <c r="AA232">
        <v>0</v>
      </c>
      <c r="AB232" t="s">
        <v>2027</v>
      </c>
      <c r="AC232" t="s">
        <v>2049</v>
      </c>
    </row>
    <row r="233" spans="24:29">
      <c r="X233" t="s">
        <v>2050</v>
      </c>
      <c r="Y233">
        <v>3.2810000000000001</v>
      </c>
      <c r="Z233" t="s">
        <v>2047</v>
      </c>
      <c r="AA233">
        <v>0</v>
      </c>
      <c r="AB233" t="s">
        <v>2027</v>
      </c>
      <c r="AC233" t="s">
        <v>2049</v>
      </c>
    </row>
    <row r="234" spans="24:29">
      <c r="X234" t="s">
        <v>2050</v>
      </c>
      <c r="Y234">
        <v>3.6</v>
      </c>
      <c r="Z234" t="s">
        <v>2048</v>
      </c>
      <c r="AA234">
        <v>0</v>
      </c>
      <c r="AB234" t="s">
        <v>2027</v>
      </c>
      <c r="AC234" t="s">
        <v>2049</v>
      </c>
    </row>
    <row r="235" spans="24:29">
      <c r="X235" t="s">
        <v>2110</v>
      </c>
      <c r="Y235">
        <v>1.1521E-2</v>
      </c>
      <c r="Z235" t="s">
        <v>2107</v>
      </c>
      <c r="AA235">
        <v>0</v>
      </c>
      <c r="AB235" t="s">
        <v>2027</v>
      </c>
      <c r="AC235" t="s">
        <v>2108</v>
      </c>
    </row>
    <row r="236" spans="24:29">
      <c r="X236" t="s">
        <v>2110</v>
      </c>
      <c r="Y236">
        <v>8.3333000000000004E-2</v>
      </c>
      <c r="Z236" t="s">
        <v>2109</v>
      </c>
      <c r="AA236">
        <v>0</v>
      </c>
      <c r="AB236" t="s">
        <v>2027</v>
      </c>
      <c r="AC236" t="s">
        <v>2108</v>
      </c>
    </row>
    <row r="237" spans="24:29">
      <c r="X237" t="s">
        <v>2106</v>
      </c>
      <c r="Y237">
        <v>0.10197199999999999</v>
      </c>
      <c r="Z237" t="s">
        <v>2107</v>
      </c>
      <c r="AA237">
        <v>0</v>
      </c>
      <c r="AB237" t="s">
        <v>2027</v>
      </c>
      <c r="AC237" t="s">
        <v>2108</v>
      </c>
    </row>
    <row r="238" spans="24:29">
      <c r="X238" t="s">
        <v>2110</v>
      </c>
      <c r="Y238">
        <v>0.112985</v>
      </c>
      <c r="Z238" t="s">
        <v>2106</v>
      </c>
      <c r="AA238">
        <v>0</v>
      </c>
      <c r="AB238" t="s">
        <v>2027</v>
      </c>
      <c r="AC238" t="s">
        <v>2108</v>
      </c>
    </row>
    <row r="239" spans="24:29">
      <c r="X239" t="s">
        <v>2109</v>
      </c>
      <c r="Y239">
        <v>0.13825499999999999</v>
      </c>
      <c r="Z239" t="s">
        <v>2107</v>
      </c>
      <c r="AA239">
        <v>0</v>
      </c>
      <c r="AB239" t="s">
        <v>2027</v>
      </c>
      <c r="AC239" t="s">
        <v>2108</v>
      </c>
    </row>
    <row r="240" spans="24:29">
      <c r="X240" t="s">
        <v>2106</v>
      </c>
      <c r="Y240">
        <v>0.73756100000000002</v>
      </c>
      <c r="Z240" t="s">
        <v>2109</v>
      </c>
      <c r="AA240">
        <v>0</v>
      </c>
      <c r="AB240" t="s">
        <v>2027</v>
      </c>
      <c r="AC240" t="s">
        <v>2108</v>
      </c>
    </row>
    <row r="241" spans="24:29">
      <c r="X241" t="s">
        <v>2109</v>
      </c>
      <c r="Y241">
        <v>1.35582</v>
      </c>
      <c r="Z241" t="s">
        <v>2106</v>
      </c>
      <c r="AA241">
        <v>0</v>
      </c>
      <c r="AB241" t="s">
        <v>2027</v>
      </c>
      <c r="AC241" t="s">
        <v>2108</v>
      </c>
    </row>
    <row r="242" spans="24:29">
      <c r="X242" t="s">
        <v>2107</v>
      </c>
      <c r="Y242">
        <v>7.2330030000000001</v>
      </c>
      <c r="Z242" t="s">
        <v>2109</v>
      </c>
      <c r="AA242">
        <v>0</v>
      </c>
      <c r="AB242" t="s">
        <v>2027</v>
      </c>
      <c r="AC242" t="s">
        <v>2108</v>
      </c>
    </row>
    <row r="243" spans="24:29">
      <c r="X243" t="s">
        <v>2106</v>
      </c>
      <c r="Y243">
        <v>8.8507320000000007</v>
      </c>
      <c r="Z243" t="s">
        <v>2110</v>
      </c>
      <c r="AA243">
        <v>0</v>
      </c>
      <c r="AB243" t="s">
        <v>2027</v>
      </c>
      <c r="AC243" t="s">
        <v>2108</v>
      </c>
    </row>
    <row r="244" spans="24:29">
      <c r="X244" t="s">
        <v>2107</v>
      </c>
      <c r="Y244">
        <v>9.8066499999999994</v>
      </c>
      <c r="Z244" t="s">
        <v>2106</v>
      </c>
      <c r="AA244">
        <v>0</v>
      </c>
      <c r="AB244" t="s">
        <v>2027</v>
      </c>
      <c r="AC244" t="s">
        <v>2108</v>
      </c>
    </row>
    <row r="245" spans="24:29">
      <c r="X245" t="s">
        <v>2109</v>
      </c>
      <c r="Y245">
        <v>12</v>
      </c>
      <c r="Z245" t="s">
        <v>2110</v>
      </c>
      <c r="AA245">
        <v>0</v>
      </c>
      <c r="AB245" t="s">
        <v>2027</v>
      </c>
      <c r="AC245" t="s">
        <v>2108</v>
      </c>
    </row>
    <row r="246" spans="24:29">
      <c r="X246" t="s">
        <v>2107</v>
      </c>
      <c r="Y246">
        <v>86.796030000000002</v>
      </c>
      <c r="Z246" t="s">
        <v>2110</v>
      </c>
      <c r="AA246">
        <v>0</v>
      </c>
      <c r="AB246" t="s">
        <v>2027</v>
      </c>
      <c r="AC246" t="s">
        <v>2108</v>
      </c>
    </row>
    <row r="247" spans="24:29">
      <c r="X247" t="s">
        <v>2092</v>
      </c>
      <c r="Y247">
        <v>9.9999999999999995E-7</v>
      </c>
      <c r="Z247" t="s">
        <v>2095</v>
      </c>
      <c r="AA247">
        <v>0</v>
      </c>
      <c r="AB247" t="s">
        <v>2027</v>
      </c>
      <c r="AC247" t="s">
        <v>2094</v>
      </c>
    </row>
    <row r="248" spans="24:29">
      <c r="X248" t="s">
        <v>2092</v>
      </c>
      <c r="Y248">
        <v>1.1E-5</v>
      </c>
      <c r="Z248" t="s">
        <v>2097</v>
      </c>
      <c r="AA248">
        <v>0</v>
      </c>
      <c r="AB248" t="s">
        <v>2027</v>
      </c>
      <c r="AC248" t="s">
        <v>2094</v>
      </c>
    </row>
    <row r="249" spans="24:29">
      <c r="X249" t="s">
        <v>2093</v>
      </c>
      <c r="Y249">
        <v>1E-4</v>
      </c>
      <c r="Z249" t="s">
        <v>2095</v>
      </c>
      <c r="AA249">
        <v>0</v>
      </c>
      <c r="AB249" t="s">
        <v>2027</v>
      </c>
      <c r="AC249" t="s">
        <v>2094</v>
      </c>
    </row>
    <row r="250" spans="24:29">
      <c r="X250" t="s">
        <v>2096</v>
      </c>
      <c r="Y250">
        <v>6.4499999999999996E-4</v>
      </c>
      <c r="Z250" t="s">
        <v>2095</v>
      </c>
      <c r="AA250">
        <v>0</v>
      </c>
      <c r="AB250" t="s">
        <v>2027</v>
      </c>
      <c r="AC250" t="s">
        <v>2094</v>
      </c>
    </row>
    <row r="251" spans="24:29">
      <c r="X251" t="s">
        <v>2093</v>
      </c>
      <c r="Y251">
        <v>1.0759999999999999E-3</v>
      </c>
      <c r="Z251" t="s">
        <v>2097</v>
      </c>
      <c r="AA251">
        <v>0</v>
      </c>
      <c r="AB251" t="s">
        <v>2027</v>
      </c>
      <c r="AC251" t="s">
        <v>2094</v>
      </c>
    </row>
    <row r="252" spans="24:29">
      <c r="X252" t="s">
        <v>2092</v>
      </c>
      <c r="Y252">
        <v>1.5499999999999999E-3</v>
      </c>
      <c r="Z252" t="s">
        <v>2096</v>
      </c>
      <c r="AA252">
        <v>0</v>
      </c>
      <c r="AB252" t="s">
        <v>2027</v>
      </c>
      <c r="AC252" t="s">
        <v>2094</v>
      </c>
    </row>
    <row r="253" spans="24:29">
      <c r="X253" t="s">
        <v>2096</v>
      </c>
      <c r="Y253">
        <v>6.9439999999999997E-3</v>
      </c>
      <c r="Z253" t="s">
        <v>2097</v>
      </c>
      <c r="AA253">
        <v>0</v>
      </c>
      <c r="AB253" t="s">
        <v>2027</v>
      </c>
      <c r="AC253" t="s">
        <v>2094</v>
      </c>
    </row>
    <row r="254" spans="24:29">
      <c r="X254" t="s">
        <v>2092</v>
      </c>
      <c r="Y254">
        <v>0.01</v>
      </c>
      <c r="Z254" t="s">
        <v>2093</v>
      </c>
      <c r="AA254">
        <v>0</v>
      </c>
      <c r="AB254" t="s">
        <v>2027</v>
      </c>
      <c r="AC254" t="s">
        <v>2094</v>
      </c>
    </row>
    <row r="255" spans="24:29">
      <c r="X255" t="s">
        <v>2097</v>
      </c>
      <c r="Y255">
        <v>9.2902999999999999E-2</v>
      </c>
      <c r="Z255" t="s">
        <v>2095</v>
      </c>
      <c r="AA255">
        <v>0</v>
      </c>
      <c r="AB255" t="s">
        <v>2027</v>
      </c>
      <c r="AC255" t="s">
        <v>2094</v>
      </c>
    </row>
    <row r="256" spans="24:29">
      <c r="X256" t="s">
        <v>2093</v>
      </c>
      <c r="Y256">
        <v>0.155</v>
      </c>
      <c r="Z256" t="s">
        <v>2096</v>
      </c>
      <c r="AA256">
        <v>0</v>
      </c>
      <c r="AB256" t="s">
        <v>2027</v>
      </c>
      <c r="AC256" t="s">
        <v>2094</v>
      </c>
    </row>
    <row r="257" spans="24:29">
      <c r="X257" t="s">
        <v>2096</v>
      </c>
      <c r="Y257">
        <v>6.4516</v>
      </c>
      <c r="Z257" t="s">
        <v>2093</v>
      </c>
      <c r="AA257">
        <v>0</v>
      </c>
      <c r="AB257" t="s">
        <v>2027</v>
      </c>
      <c r="AC257" t="s">
        <v>2094</v>
      </c>
    </row>
    <row r="258" spans="24:29">
      <c r="X258" t="s">
        <v>2095</v>
      </c>
      <c r="Y258">
        <v>10.763909999999999</v>
      </c>
      <c r="Z258" t="s">
        <v>2097</v>
      </c>
      <c r="AA258">
        <v>0</v>
      </c>
      <c r="AB258" t="s">
        <v>2027</v>
      </c>
      <c r="AC258" t="s">
        <v>2094</v>
      </c>
    </row>
    <row r="259" spans="24:29">
      <c r="X259" t="s">
        <v>2093</v>
      </c>
      <c r="Y259">
        <v>100</v>
      </c>
      <c r="Z259" t="s">
        <v>2092</v>
      </c>
      <c r="AA259">
        <v>0</v>
      </c>
      <c r="AB259" t="s">
        <v>2027</v>
      </c>
      <c r="AC259" t="s">
        <v>2094</v>
      </c>
    </row>
    <row r="260" spans="24:29">
      <c r="X260" t="s">
        <v>2097</v>
      </c>
      <c r="Y260">
        <v>144</v>
      </c>
      <c r="Z260" t="s">
        <v>2096</v>
      </c>
      <c r="AA260">
        <v>0</v>
      </c>
      <c r="AB260" t="s">
        <v>2027</v>
      </c>
      <c r="AC260" t="s">
        <v>2094</v>
      </c>
    </row>
    <row r="261" spans="24:29">
      <c r="X261" t="s">
        <v>2096</v>
      </c>
      <c r="Y261">
        <v>645.16</v>
      </c>
      <c r="Z261" t="s">
        <v>2092</v>
      </c>
      <c r="AA261">
        <v>0</v>
      </c>
      <c r="AB261" t="s">
        <v>2027</v>
      </c>
      <c r="AC261" t="s">
        <v>2094</v>
      </c>
    </row>
    <row r="262" spans="24:29">
      <c r="X262" t="s">
        <v>2097</v>
      </c>
      <c r="Y262">
        <v>929.03039999999999</v>
      </c>
      <c r="Z262" t="s">
        <v>2093</v>
      </c>
      <c r="AA262">
        <v>0</v>
      </c>
      <c r="AB262" t="s">
        <v>2027</v>
      </c>
      <c r="AC262" t="s">
        <v>2094</v>
      </c>
    </row>
    <row r="263" spans="24:29">
      <c r="X263" t="s">
        <v>2095</v>
      </c>
      <c r="Y263">
        <v>1550.0029999999999</v>
      </c>
      <c r="Z263" t="s">
        <v>2096</v>
      </c>
      <c r="AA263">
        <v>0</v>
      </c>
      <c r="AB263" t="s">
        <v>2027</v>
      </c>
      <c r="AC263" t="s">
        <v>2094</v>
      </c>
    </row>
    <row r="264" spans="24:29">
      <c r="X264" t="s">
        <v>2095</v>
      </c>
      <c r="Y264">
        <v>10000</v>
      </c>
      <c r="Z264" t="s">
        <v>2093</v>
      </c>
      <c r="AA264">
        <v>0</v>
      </c>
      <c r="AB264" t="s">
        <v>2027</v>
      </c>
      <c r="AC264" t="s">
        <v>2094</v>
      </c>
    </row>
    <row r="265" spans="24:29">
      <c r="X265" t="s">
        <v>2097</v>
      </c>
      <c r="Y265">
        <v>92903</v>
      </c>
      <c r="Z265" t="s">
        <v>2092</v>
      </c>
      <c r="AA265">
        <v>0</v>
      </c>
      <c r="AB265" t="s">
        <v>2027</v>
      </c>
      <c r="AC265" t="s">
        <v>2094</v>
      </c>
    </row>
    <row r="266" spans="24:29">
      <c r="X266" t="s">
        <v>2095</v>
      </c>
      <c r="Y266">
        <v>1000000</v>
      </c>
      <c r="Z266" t="s">
        <v>2092</v>
      </c>
      <c r="AA266">
        <v>0</v>
      </c>
      <c r="AB266" t="s">
        <v>2027</v>
      </c>
      <c r="AC266" t="s">
        <v>2094</v>
      </c>
    </row>
    <row r="267" spans="24:29">
      <c r="X267" t="s">
        <v>2019</v>
      </c>
      <c r="Y267">
        <v>6.2140000000000001E-6</v>
      </c>
      <c r="Z267" t="s">
        <v>2030</v>
      </c>
      <c r="AA267">
        <v>0</v>
      </c>
      <c r="AB267" t="s">
        <v>2027</v>
      </c>
      <c r="AC267" t="s">
        <v>2004</v>
      </c>
    </row>
    <row r="268" spans="24:29">
      <c r="X268" t="s">
        <v>2019</v>
      </c>
      <c r="Y268">
        <v>1.0000000000000001E-5</v>
      </c>
      <c r="Z268" t="s">
        <v>2029</v>
      </c>
      <c r="AA268">
        <v>0</v>
      </c>
      <c r="AB268" t="s">
        <v>2027</v>
      </c>
      <c r="AC268" t="s">
        <v>2004</v>
      </c>
    </row>
    <row r="269" spans="24:29">
      <c r="X269" t="s">
        <v>2031</v>
      </c>
      <c r="Y269">
        <v>1.5780000000000001E-5</v>
      </c>
      <c r="Z269" t="s">
        <v>2030</v>
      </c>
      <c r="AA269">
        <v>0</v>
      </c>
      <c r="AB269" t="s">
        <v>2027</v>
      </c>
      <c r="AC269" t="s">
        <v>2004</v>
      </c>
    </row>
    <row r="270" spans="24:29">
      <c r="X270" t="s">
        <v>2031</v>
      </c>
      <c r="Y270">
        <v>2.5400000000000001E-5</v>
      </c>
      <c r="Z270" t="s">
        <v>2029</v>
      </c>
      <c r="AA270">
        <v>0</v>
      </c>
      <c r="AB270" t="s">
        <v>2027</v>
      </c>
      <c r="AC270" t="s">
        <v>2004</v>
      </c>
    </row>
    <row r="271" spans="24:29">
      <c r="X271" t="s">
        <v>2028</v>
      </c>
      <c r="Y271">
        <v>1.894E-4</v>
      </c>
      <c r="Z271" t="s">
        <v>2030</v>
      </c>
      <c r="AA271">
        <v>0</v>
      </c>
      <c r="AB271" t="s">
        <v>2027</v>
      </c>
      <c r="AC271" t="s">
        <v>2004</v>
      </c>
    </row>
    <row r="272" spans="24:29">
      <c r="X272" t="s">
        <v>2028</v>
      </c>
      <c r="Y272">
        <v>3.0479999999999998E-4</v>
      </c>
      <c r="Z272" t="s">
        <v>2029</v>
      </c>
      <c r="AA272">
        <v>0</v>
      </c>
      <c r="AB272" t="s">
        <v>2027</v>
      </c>
      <c r="AC272" t="s">
        <v>2004</v>
      </c>
    </row>
    <row r="273" spans="24:29">
      <c r="X273" t="s">
        <v>2032</v>
      </c>
      <c r="Y273">
        <v>5.6818180000000002E-4</v>
      </c>
      <c r="Z273" t="s">
        <v>2030</v>
      </c>
      <c r="AA273">
        <v>0</v>
      </c>
      <c r="AB273" t="s">
        <v>2027</v>
      </c>
      <c r="AC273" t="s">
        <v>2004</v>
      </c>
    </row>
    <row r="274" spans="24:29">
      <c r="X274" t="s">
        <v>2017</v>
      </c>
      <c r="Y274">
        <v>6.2140000000000003E-4</v>
      </c>
      <c r="Z274" t="s">
        <v>2030</v>
      </c>
      <c r="AA274">
        <v>0</v>
      </c>
      <c r="AB274" t="s">
        <v>2027</v>
      </c>
      <c r="AC274" t="s">
        <v>2004</v>
      </c>
    </row>
    <row r="275" spans="24:29">
      <c r="X275" t="s">
        <v>2017</v>
      </c>
      <c r="Y275">
        <v>1E-3</v>
      </c>
      <c r="Z275" t="s">
        <v>2029</v>
      </c>
      <c r="AA275">
        <v>0</v>
      </c>
      <c r="AB275" t="s">
        <v>2027</v>
      </c>
      <c r="AC275" t="s">
        <v>2004</v>
      </c>
    </row>
    <row r="276" spans="24:29">
      <c r="X276" t="s">
        <v>2018</v>
      </c>
      <c r="Y276">
        <v>3.2808399000000001E-3</v>
      </c>
      <c r="Z276" t="s">
        <v>2028</v>
      </c>
      <c r="AA276">
        <v>0</v>
      </c>
      <c r="AB276" t="s">
        <v>2027</v>
      </c>
      <c r="AC276" t="s">
        <v>2004</v>
      </c>
    </row>
    <row r="277" spans="24:29">
      <c r="X277" t="s">
        <v>2019</v>
      </c>
      <c r="Y277">
        <v>0.01</v>
      </c>
      <c r="Z277" t="s">
        <v>2017</v>
      </c>
      <c r="AA277">
        <v>0</v>
      </c>
      <c r="AB277" t="s">
        <v>2027</v>
      </c>
      <c r="AC277" t="s">
        <v>2004</v>
      </c>
    </row>
    <row r="278" spans="24:29">
      <c r="X278" t="s">
        <v>2031</v>
      </c>
      <c r="Y278">
        <v>2.5399999999999999E-2</v>
      </c>
      <c r="Z278" t="s">
        <v>2017</v>
      </c>
      <c r="AA278">
        <v>0</v>
      </c>
      <c r="AB278" t="s">
        <v>2027</v>
      </c>
      <c r="AC278" t="s">
        <v>2004</v>
      </c>
    </row>
    <row r="279" spans="24:29">
      <c r="X279" t="s">
        <v>2031</v>
      </c>
      <c r="Y279">
        <v>2.77777778E-2</v>
      </c>
      <c r="Z279" t="s">
        <v>2032</v>
      </c>
      <c r="AA279">
        <v>0</v>
      </c>
      <c r="AB279" t="s">
        <v>2027</v>
      </c>
      <c r="AC279" t="s">
        <v>2004</v>
      </c>
    </row>
    <row r="280" spans="24:29">
      <c r="X280" t="s">
        <v>2019</v>
      </c>
      <c r="Y280">
        <v>3.2809999999999999E-2</v>
      </c>
      <c r="Z280" t="s">
        <v>2028</v>
      </c>
      <c r="AA280">
        <v>0</v>
      </c>
      <c r="AB280" t="s">
        <v>2027</v>
      </c>
      <c r="AC280" t="s">
        <v>2004</v>
      </c>
    </row>
    <row r="281" spans="24:29">
      <c r="X281" t="s">
        <v>2018</v>
      </c>
      <c r="Y281">
        <v>3.9370078699999998E-2</v>
      </c>
      <c r="Z281" t="s">
        <v>2031</v>
      </c>
      <c r="AA281">
        <v>0</v>
      </c>
      <c r="AB281" t="s">
        <v>2027</v>
      </c>
      <c r="AC281" t="s">
        <v>2004</v>
      </c>
    </row>
    <row r="282" spans="24:29">
      <c r="X282" t="s">
        <v>2031</v>
      </c>
      <c r="Y282">
        <v>8.3299999999999999E-2</v>
      </c>
      <c r="Z282" t="s">
        <v>2028</v>
      </c>
      <c r="AA282">
        <v>0</v>
      </c>
      <c r="AB282" t="s">
        <v>2027</v>
      </c>
      <c r="AC282" t="s">
        <v>2004</v>
      </c>
    </row>
    <row r="283" spans="24:29">
      <c r="X283" t="s">
        <v>2028</v>
      </c>
      <c r="Y283">
        <v>0.30480000000000002</v>
      </c>
      <c r="Z283" t="s">
        <v>2017</v>
      </c>
      <c r="AA283">
        <v>0</v>
      </c>
      <c r="AB283" t="s">
        <v>2027</v>
      </c>
      <c r="AC283" t="s">
        <v>2004</v>
      </c>
    </row>
    <row r="284" spans="24:29">
      <c r="X284" t="s">
        <v>2019</v>
      </c>
      <c r="Y284">
        <v>0.39369999999999999</v>
      </c>
      <c r="Z284" t="s">
        <v>2031</v>
      </c>
      <c r="AA284">
        <v>0</v>
      </c>
      <c r="AB284" t="s">
        <v>2027</v>
      </c>
      <c r="AC284" t="s">
        <v>2004</v>
      </c>
    </row>
    <row r="285" spans="24:29">
      <c r="X285" t="s">
        <v>2029</v>
      </c>
      <c r="Y285">
        <v>0.62139999999999995</v>
      </c>
      <c r="Z285" t="s">
        <v>2030</v>
      </c>
      <c r="AA285">
        <v>0</v>
      </c>
      <c r="AB285" t="s">
        <v>2027</v>
      </c>
      <c r="AC285" t="s">
        <v>2004</v>
      </c>
    </row>
    <row r="286" spans="24:29">
      <c r="X286" t="s">
        <v>2017</v>
      </c>
      <c r="Y286">
        <v>1.0936132983</v>
      </c>
      <c r="Z286" t="s">
        <v>2032</v>
      </c>
      <c r="AA286">
        <v>0</v>
      </c>
      <c r="AB286" t="s">
        <v>2027</v>
      </c>
      <c r="AC286" t="s">
        <v>2004</v>
      </c>
    </row>
    <row r="287" spans="24:29">
      <c r="X287" t="s">
        <v>2030</v>
      </c>
      <c r="Y287">
        <v>1.609</v>
      </c>
      <c r="Z287" t="s">
        <v>2029</v>
      </c>
      <c r="AA287">
        <v>0</v>
      </c>
      <c r="AB287" t="s">
        <v>2027</v>
      </c>
      <c r="AC287" t="s">
        <v>2004</v>
      </c>
    </row>
    <row r="288" spans="24:29">
      <c r="X288" t="s">
        <v>2031</v>
      </c>
      <c r="Y288">
        <v>2.54</v>
      </c>
      <c r="Z288" t="s">
        <v>2019</v>
      </c>
      <c r="AA288">
        <v>0</v>
      </c>
      <c r="AB288" t="s">
        <v>2027</v>
      </c>
      <c r="AC288" t="s">
        <v>2004</v>
      </c>
    </row>
    <row r="289" spans="24:29">
      <c r="X289" t="s">
        <v>2032</v>
      </c>
      <c r="Y289">
        <v>3</v>
      </c>
      <c r="Z289" t="s">
        <v>2028</v>
      </c>
      <c r="AA289">
        <v>0</v>
      </c>
      <c r="AB289" t="s">
        <v>2027</v>
      </c>
      <c r="AC289" t="s">
        <v>2004</v>
      </c>
    </row>
    <row r="290" spans="24:29">
      <c r="X290" t="s">
        <v>2017</v>
      </c>
      <c r="Y290">
        <v>3.2808398950000002</v>
      </c>
      <c r="Z290" t="s">
        <v>2028</v>
      </c>
      <c r="AA290">
        <v>0</v>
      </c>
      <c r="AB290" t="s">
        <v>2027</v>
      </c>
      <c r="AC290" t="s">
        <v>2004</v>
      </c>
    </row>
    <row r="291" spans="24:29">
      <c r="X291" t="s">
        <v>2017</v>
      </c>
      <c r="Y291">
        <v>3.2810000000000001</v>
      </c>
      <c r="Z291" t="s">
        <v>2028</v>
      </c>
      <c r="AA291">
        <v>0</v>
      </c>
      <c r="AB291" t="s">
        <v>2027</v>
      </c>
      <c r="AC291" t="s">
        <v>2004</v>
      </c>
    </row>
    <row r="292" spans="24:29">
      <c r="X292" t="s">
        <v>2028</v>
      </c>
      <c r="Y292">
        <v>12</v>
      </c>
      <c r="Z292" t="s">
        <v>2031</v>
      </c>
      <c r="AA292">
        <v>0</v>
      </c>
      <c r="AB292" t="s">
        <v>2027</v>
      </c>
      <c r="AC292" t="s">
        <v>2004</v>
      </c>
    </row>
    <row r="293" spans="24:29">
      <c r="X293" t="s">
        <v>2028</v>
      </c>
      <c r="Y293">
        <v>30.48</v>
      </c>
      <c r="Z293" t="s">
        <v>2019</v>
      </c>
      <c r="AA293">
        <v>0</v>
      </c>
      <c r="AB293" t="s">
        <v>2027</v>
      </c>
      <c r="AC293" t="s">
        <v>2004</v>
      </c>
    </row>
    <row r="294" spans="24:29">
      <c r="X294" t="s">
        <v>2017</v>
      </c>
      <c r="Y294">
        <v>39.369999999999997</v>
      </c>
      <c r="Z294" t="s">
        <v>2031</v>
      </c>
      <c r="AA294">
        <v>0</v>
      </c>
      <c r="AB294" t="s">
        <v>2027</v>
      </c>
      <c r="AC294" t="s">
        <v>2004</v>
      </c>
    </row>
    <row r="295" spans="24:29">
      <c r="X295" t="s">
        <v>2017</v>
      </c>
      <c r="Y295">
        <v>100</v>
      </c>
      <c r="Z295" t="s">
        <v>2019</v>
      </c>
      <c r="AA295">
        <v>0</v>
      </c>
      <c r="AB295" t="s">
        <v>2027</v>
      </c>
      <c r="AC295" t="s">
        <v>2004</v>
      </c>
    </row>
    <row r="296" spans="24:29">
      <c r="X296" t="s">
        <v>2017</v>
      </c>
      <c r="Y296">
        <v>1000</v>
      </c>
      <c r="Z296" t="s">
        <v>2018</v>
      </c>
      <c r="AA296">
        <v>0</v>
      </c>
      <c r="AB296" t="s">
        <v>2027</v>
      </c>
      <c r="AC296" t="s">
        <v>2004</v>
      </c>
    </row>
    <row r="297" spans="24:29">
      <c r="X297" t="s">
        <v>2029</v>
      </c>
      <c r="Y297">
        <v>1000</v>
      </c>
      <c r="Z297" t="s">
        <v>2017</v>
      </c>
      <c r="AA297">
        <v>0</v>
      </c>
      <c r="AB297" t="s">
        <v>2027</v>
      </c>
      <c r="AC297" t="s">
        <v>2004</v>
      </c>
    </row>
    <row r="298" spans="24:29">
      <c r="X298" t="s">
        <v>2030</v>
      </c>
      <c r="Y298">
        <v>1609</v>
      </c>
      <c r="Z298" t="s">
        <v>2017</v>
      </c>
      <c r="AA298">
        <v>0</v>
      </c>
      <c r="AB298" t="s">
        <v>2027</v>
      </c>
      <c r="AC298" t="s">
        <v>2004</v>
      </c>
    </row>
    <row r="299" spans="24:29">
      <c r="X299" t="s">
        <v>2029</v>
      </c>
      <c r="Y299">
        <v>3281</v>
      </c>
      <c r="Z299" t="s">
        <v>2028</v>
      </c>
      <c r="AA299">
        <v>0</v>
      </c>
      <c r="AB299" t="s">
        <v>2027</v>
      </c>
      <c r="AC299" t="s">
        <v>2004</v>
      </c>
    </row>
    <row r="300" spans="24:29">
      <c r="X300" t="s">
        <v>2030</v>
      </c>
      <c r="Y300">
        <v>5280</v>
      </c>
      <c r="Z300" t="s">
        <v>2028</v>
      </c>
      <c r="AA300">
        <v>0</v>
      </c>
      <c r="AB300" t="s">
        <v>2027</v>
      </c>
      <c r="AC300" t="s">
        <v>2004</v>
      </c>
    </row>
    <row r="301" spans="24:29">
      <c r="X301" t="s">
        <v>2029</v>
      </c>
      <c r="Y301">
        <v>39370</v>
      </c>
      <c r="Z301" t="s">
        <v>2031</v>
      </c>
      <c r="AA301">
        <v>0</v>
      </c>
      <c r="AB301" t="s">
        <v>2027</v>
      </c>
      <c r="AC301" t="s">
        <v>2004</v>
      </c>
    </row>
    <row r="302" spans="24:29">
      <c r="X302" t="s">
        <v>2030</v>
      </c>
      <c r="Y302">
        <v>63360</v>
      </c>
      <c r="Z302" t="s">
        <v>2031</v>
      </c>
      <c r="AA302">
        <v>0</v>
      </c>
      <c r="AB302" t="s">
        <v>2027</v>
      </c>
      <c r="AC302" t="s">
        <v>2004</v>
      </c>
    </row>
    <row r="303" spans="24:29">
      <c r="X303" t="s">
        <v>2029</v>
      </c>
      <c r="Y303">
        <v>100000</v>
      </c>
      <c r="Z303" t="s">
        <v>2019</v>
      </c>
      <c r="AA303">
        <v>0</v>
      </c>
      <c r="AB303" t="s">
        <v>2027</v>
      </c>
      <c r="AC303" t="s">
        <v>2004</v>
      </c>
    </row>
    <row r="304" spans="24:29">
      <c r="X304" t="s">
        <v>2030</v>
      </c>
      <c r="Y304">
        <v>160900</v>
      </c>
      <c r="Z304" t="s">
        <v>2019</v>
      </c>
      <c r="AA304">
        <v>0</v>
      </c>
      <c r="AB304" t="s">
        <v>2027</v>
      </c>
      <c r="AC304" t="s">
        <v>2004</v>
      </c>
    </row>
    <row r="305" spans="24:29">
      <c r="X305" t="s">
        <v>2040</v>
      </c>
      <c r="Y305">
        <v>6.8520000000000001E-5</v>
      </c>
      <c r="Z305" t="s">
        <v>2039</v>
      </c>
      <c r="AA305">
        <v>0</v>
      </c>
      <c r="AB305" t="s">
        <v>2027</v>
      </c>
      <c r="AC305" t="s">
        <v>2036</v>
      </c>
    </row>
    <row r="306" spans="24:29">
      <c r="X306" t="s">
        <v>2040</v>
      </c>
      <c r="Y306">
        <v>1E-3</v>
      </c>
      <c r="Z306" t="s">
        <v>2020</v>
      </c>
      <c r="AA306">
        <v>0</v>
      </c>
      <c r="AB306" t="s">
        <v>2027</v>
      </c>
      <c r="AC306" t="s">
        <v>2036</v>
      </c>
    </row>
    <row r="307" spans="24:29">
      <c r="X307" t="s">
        <v>2040</v>
      </c>
      <c r="Y307">
        <v>2.2049999999999999E-3</v>
      </c>
      <c r="Z307" t="s">
        <v>2021</v>
      </c>
      <c r="AA307">
        <v>0</v>
      </c>
      <c r="AB307" t="s">
        <v>2027</v>
      </c>
      <c r="AC307" t="s">
        <v>2036</v>
      </c>
    </row>
    <row r="308" spans="24:29">
      <c r="X308" t="s">
        <v>2021</v>
      </c>
      <c r="Y308">
        <v>3.108E-2</v>
      </c>
      <c r="Z308" t="s">
        <v>2039</v>
      </c>
      <c r="AA308">
        <v>0</v>
      </c>
      <c r="AB308" t="s">
        <v>2027</v>
      </c>
      <c r="AC308" t="s">
        <v>2036</v>
      </c>
    </row>
    <row r="309" spans="24:29">
      <c r="X309" t="s">
        <v>2020</v>
      </c>
      <c r="Y309">
        <v>6.8519999999999998E-2</v>
      </c>
      <c r="Z309" t="s">
        <v>2039</v>
      </c>
      <c r="AA309">
        <v>0</v>
      </c>
      <c r="AB309" t="s">
        <v>2027</v>
      </c>
      <c r="AC309" t="s">
        <v>2036</v>
      </c>
    </row>
    <row r="310" spans="24:29">
      <c r="X310" t="s">
        <v>2021</v>
      </c>
      <c r="Y310">
        <v>0.4536</v>
      </c>
      <c r="Z310" t="s">
        <v>2020</v>
      </c>
      <c r="AA310">
        <v>0</v>
      </c>
      <c r="AB310" t="s">
        <v>2027</v>
      </c>
      <c r="AC310" t="s">
        <v>2036</v>
      </c>
    </row>
    <row r="311" spans="24:29">
      <c r="X311" t="s">
        <v>2020</v>
      </c>
      <c r="Y311">
        <v>2.2050000000000001</v>
      </c>
      <c r="Z311" t="s">
        <v>2021</v>
      </c>
      <c r="AA311">
        <v>0</v>
      </c>
      <c r="AB311" t="s">
        <v>2027</v>
      </c>
      <c r="AC311" t="s">
        <v>2036</v>
      </c>
    </row>
    <row r="312" spans="24:29">
      <c r="X312" t="s">
        <v>2039</v>
      </c>
      <c r="Y312">
        <v>14.59</v>
      </c>
      <c r="Z312" t="s">
        <v>2020</v>
      </c>
      <c r="AA312">
        <v>0</v>
      </c>
      <c r="AB312" t="s">
        <v>2027</v>
      </c>
      <c r="AC312" t="s">
        <v>2036</v>
      </c>
    </row>
    <row r="313" spans="24:29">
      <c r="X313" t="s">
        <v>2039</v>
      </c>
      <c r="Y313">
        <v>32.17</v>
      </c>
      <c r="Z313" t="s">
        <v>2021</v>
      </c>
      <c r="AA313">
        <v>0</v>
      </c>
      <c r="AB313" t="s">
        <v>2027</v>
      </c>
      <c r="AC313" t="s">
        <v>2036</v>
      </c>
    </row>
    <row r="314" spans="24:29">
      <c r="X314" t="s">
        <v>2021</v>
      </c>
      <c r="Y314">
        <v>453.6</v>
      </c>
      <c r="Z314" t="s">
        <v>2040</v>
      </c>
      <c r="AA314">
        <v>0</v>
      </c>
      <c r="AB314" t="s">
        <v>2027</v>
      </c>
      <c r="AC314" t="s">
        <v>2036</v>
      </c>
    </row>
    <row r="315" spans="24:29">
      <c r="X315" t="s">
        <v>2020</v>
      </c>
      <c r="Y315">
        <v>1000</v>
      </c>
      <c r="Z315" t="s">
        <v>2040</v>
      </c>
      <c r="AA315">
        <v>0</v>
      </c>
      <c r="AB315" t="s">
        <v>2027</v>
      </c>
      <c r="AC315" t="s">
        <v>2036</v>
      </c>
    </row>
    <row r="316" spans="24:29">
      <c r="X316" t="s">
        <v>2039</v>
      </c>
      <c r="Y316">
        <v>14590</v>
      </c>
      <c r="Z316" t="s">
        <v>2040</v>
      </c>
      <c r="AA316">
        <v>0</v>
      </c>
      <c r="AB316" t="s">
        <v>2027</v>
      </c>
      <c r="AC316" t="s">
        <v>2036</v>
      </c>
    </row>
    <row r="317" spans="24:29">
      <c r="X317" t="s">
        <v>2021</v>
      </c>
      <c r="Y317">
        <v>0.45359237000000002</v>
      </c>
      <c r="Z317" t="s">
        <v>2020</v>
      </c>
      <c r="AA317">
        <v>0</v>
      </c>
      <c r="AB317" t="s">
        <v>2027</v>
      </c>
      <c r="AC317" t="s">
        <v>2036</v>
      </c>
    </row>
    <row r="318" spans="24:29">
      <c r="X318" t="s">
        <v>2089</v>
      </c>
      <c r="Y318">
        <v>1</v>
      </c>
      <c r="Z318" t="s">
        <v>2091</v>
      </c>
      <c r="AA318">
        <v>0</v>
      </c>
      <c r="AB318" t="s">
        <v>2027</v>
      </c>
      <c r="AC318" t="s">
        <v>2038</v>
      </c>
    </row>
    <row r="319" spans="24:29">
      <c r="X319" t="s">
        <v>2091</v>
      </c>
      <c r="Y319">
        <v>1</v>
      </c>
      <c r="Z319" t="s">
        <v>2089</v>
      </c>
      <c r="AA319">
        <v>0</v>
      </c>
      <c r="AB319" t="s">
        <v>2027</v>
      </c>
      <c r="AC319" t="s">
        <v>2038</v>
      </c>
    </row>
    <row r="320" spans="24:29">
      <c r="X320" t="s">
        <v>2091</v>
      </c>
      <c r="Y320">
        <v>1</v>
      </c>
      <c r="Z320" t="s">
        <v>2089</v>
      </c>
      <c r="AA320">
        <v>-273.14999999999998</v>
      </c>
      <c r="AB320" t="s">
        <v>2026</v>
      </c>
      <c r="AC320" t="s">
        <v>2038</v>
      </c>
    </row>
    <row r="321" spans="24:29">
      <c r="X321" t="s">
        <v>2089</v>
      </c>
      <c r="Y321">
        <v>1.8</v>
      </c>
      <c r="Z321" t="s">
        <v>2090</v>
      </c>
      <c r="AA321">
        <v>32</v>
      </c>
      <c r="AB321" t="s">
        <v>2026</v>
      </c>
      <c r="AC321" t="s">
        <v>2038</v>
      </c>
    </row>
    <row r="322" spans="24:29">
      <c r="X322" t="s">
        <v>2091</v>
      </c>
      <c r="Y322">
        <v>1.8</v>
      </c>
      <c r="Z322" t="s">
        <v>2090</v>
      </c>
      <c r="AA322">
        <v>-459.67</v>
      </c>
      <c r="AB322" t="s">
        <v>2026</v>
      </c>
      <c r="AC322" t="s">
        <v>2038</v>
      </c>
    </row>
    <row r="323" spans="24:29">
      <c r="X323" t="s">
        <v>2034</v>
      </c>
      <c r="Y323">
        <v>9.9999999999999995E-7</v>
      </c>
      <c r="Z323" t="s">
        <v>2023</v>
      </c>
      <c r="AA323">
        <v>0</v>
      </c>
      <c r="AB323" t="s">
        <v>2027</v>
      </c>
      <c r="AC323" t="s">
        <v>2037</v>
      </c>
    </row>
    <row r="324" spans="24:29">
      <c r="X324" t="s">
        <v>2098</v>
      </c>
      <c r="Y324">
        <v>1.5999999999999999E-5</v>
      </c>
      <c r="Z324" t="s">
        <v>2023</v>
      </c>
      <c r="AA324">
        <v>0</v>
      </c>
      <c r="AB324" t="s">
        <v>2027</v>
      </c>
      <c r="AC324" t="s">
        <v>2037</v>
      </c>
    </row>
    <row r="325" spans="24:29">
      <c r="X325" t="s">
        <v>2034</v>
      </c>
      <c r="Y325">
        <v>3.4999999999999997E-5</v>
      </c>
      <c r="Z325" t="s">
        <v>2099</v>
      </c>
      <c r="AA325">
        <v>0</v>
      </c>
      <c r="AB325" t="s">
        <v>2027</v>
      </c>
      <c r="AC325" t="s">
        <v>2037</v>
      </c>
    </row>
    <row r="326" spans="24:29">
      <c r="X326" t="s">
        <v>2034</v>
      </c>
      <c r="Y326">
        <v>2.6400000000000002E-4</v>
      </c>
      <c r="Z326" t="s">
        <v>2100</v>
      </c>
      <c r="AA326">
        <v>0</v>
      </c>
      <c r="AB326" t="s">
        <v>2027</v>
      </c>
      <c r="AC326" t="s">
        <v>2037</v>
      </c>
    </row>
    <row r="327" spans="24:29">
      <c r="X327" t="s">
        <v>2034</v>
      </c>
      <c r="Y327">
        <v>1E-3</v>
      </c>
      <c r="Z327" t="s">
        <v>2022</v>
      </c>
      <c r="AA327">
        <v>0</v>
      </c>
      <c r="AB327" t="s">
        <v>2027</v>
      </c>
      <c r="AC327" t="s">
        <v>2037</v>
      </c>
    </row>
    <row r="328" spans="24:29">
      <c r="X328" t="s">
        <v>2022</v>
      </c>
      <c r="Y328">
        <v>1E-3</v>
      </c>
      <c r="Z328" t="s">
        <v>2023</v>
      </c>
      <c r="AA328">
        <v>0</v>
      </c>
      <c r="AB328" t="s">
        <v>2027</v>
      </c>
      <c r="AC328" t="s">
        <v>2037</v>
      </c>
    </row>
    <row r="329" spans="24:29">
      <c r="X329" t="s">
        <v>2100</v>
      </c>
      <c r="Y329">
        <v>3.7850000000000002E-3</v>
      </c>
      <c r="Z329" t="s">
        <v>2023</v>
      </c>
      <c r="AA329">
        <v>0</v>
      </c>
      <c r="AB329" t="s">
        <v>2027</v>
      </c>
      <c r="AC329" t="s">
        <v>2037</v>
      </c>
    </row>
    <row r="330" spans="24:29">
      <c r="X330" t="s">
        <v>2098</v>
      </c>
      <c r="Y330">
        <v>1.6386999999999999E-2</v>
      </c>
      <c r="Z330" t="s">
        <v>2022</v>
      </c>
      <c r="AA330">
        <v>0</v>
      </c>
      <c r="AB330" t="s">
        <v>2027</v>
      </c>
      <c r="AC330" t="s">
        <v>2037</v>
      </c>
    </row>
    <row r="331" spans="24:29">
      <c r="X331" t="s">
        <v>2099</v>
      </c>
      <c r="Y331">
        <v>2.8316999999999998E-2</v>
      </c>
      <c r="Z331" t="s">
        <v>2023</v>
      </c>
      <c r="AA331">
        <v>0</v>
      </c>
      <c r="AB331" t="s">
        <v>2027</v>
      </c>
      <c r="AC331" t="s">
        <v>2037</v>
      </c>
    </row>
    <row r="332" spans="24:29">
      <c r="X332" t="s">
        <v>2022</v>
      </c>
      <c r="Y332">
        <v>3.5000000000000003E-2</v>
      </c>
      <c r="Z332" t="s">
        <v>2099</v>
      </c>
      <c r="AA332">
        <v>0</v>
      </c>
      <c r="AB332" t="s">
        <v>2027</v>
      </c>
      <c r="AC332" t="s">
        <v>2037</v>
      </c>
    </row>
    <row r="333" spans="24:29">
      <c r="X333" t="s">
        <v>2034</v>
      </c>
      <c r="Y333">
        <v>6.1024000000000002E-2</v>
      </c>
      <c r="Z333" t="s">
        <v>2098</v>
      </c>
      <c r="AA333">
        <v>0</v>
      </c>
      <c r="AB333" t="s">
        <v>2027</v>
      </c>
      <c r="AC333" t="s">
        <v>2037</v>
      </c>
    </row>
    <row r="334" spans="24:29">
      <c r="X334" t="s">
        <v>2022</v>
      </c>
      <c r="Y334">
        <v>0.26420100000000002</v>
      </c>
      <c r="Z334" t="s">
        <v>2100</v>
      </c>
      <c r="AA334">
        <v>0</v>
      </c>
      <c r="AB334" t="s">
        <v>2027</v>
      </c>
      <c r="AC334" t="s">
        <v>2037</v>
      </c>
    </row>
    <row r="335" spans="24:29">
      <c r="X335" t="s">
        <v>2100</v>
      </c>
      <c r="Y335">
        <v>3.79</v>
      </c>
      <c r="Z335" t="s">
        <v>2022</v>
      </c>
      <c r="AA335">
        <v>0</v>
      </c>
      <c r="AB335" t="s">
        <v>2027</v>
      </c>
      <c r="AC335" t="s">
        <v>2037</v>
      </c>
    </row>
    <row r="336" spans="24:29">
      <c r="X336" t="s">
        <v>2098</v>
      </c>
      <c r="Y336">
        <v>16.399999999999999</v>
      </c>
      <c r="Z336" t="s">
        <v>2034</v>
      </c>
      <c r="AA336">
        <v>0</v>
      </c>
      <c r="AB336" t="s">
        <v>2027</v>
      </c>
      <c r="AC336" t="s">
        <v>2037</v>
      </c>
    </row>
    <row r="337" spans="24:29">
      <c r="X337" t="s">
        <v>2099</v>
      </c>
      <c r="Y337">
        <v>28.316849999999999</v>
      </c>
      <c r="Z337" t="s">
        <v>2022</v>
      </c>
      <c r="AA337">
        <v>0</v>
      </c>
      <c r="AB337" t="s">
        <v>2027</v>
      </c>
      <c r="AC337" t="s">
        <v>2037</v>
      </c>
    </row>
    <row r="338" spans="24:29">
      <c r="X338" t="s">
        <v>2023</v>
      </c>
      <c r="Y338">
        <v>35</v>
      </c>
      <c r="Z338" t="s">
        <v>2099</v>
      </c>
      <c r="AA338">
        <v>0</v>
      </c>
      <c r="AB338" t="s">
        <v>2027</v>
      </c>
      <c r="AC338" t="s">
        <v>2037</v>
      </c>
    </row>
    <row r="339" spans="24:29">
      <c r="X339" t="s">
        <v>2022</v>
      </c>
      <c r="Y339">
        <v>61</v>
      </c>
      <c r="Z339" t="s">
        <v>2098</v>
      </c>
      <c r="AA339">
        <v>0</v>
      </c>
      <c r="AB339" t="s">
        <v>2027</v>
      </c>
      <c r="AC339" t="s">
        <v>2037</v>
      </c>
    </row>
    <row r="340" spans="24:29">
      <c r="X340" t="s">
        <v>2023</v>
      </c>
      <c r="Y340">
        <v>264</v>
      </c>
      <c r="Z340" t="s">
        <v>2100</v>
      </c>
      <c r="AA340">
        <v>0</v>
      </c>
      <c r="AB340" t="s">
        <v>2027</v>
      </c>
      <c r="AC340" t="s">
        <v>2037</v>
      </c>
    </row>
    <row r="341" spans="24:29">
      <c r="X341" t="s">
        <v>2023</v>
      </c>
      <c r="Y341">
        <v>1000</v>
      </c>
      <c r="Z341" t="s">
        <v>2022</v>
      </c>
      <c r="AA341">
        <v>0</v>
      </c>
      <c r="AB341" t="s">
        <v>2027</v>
      </c>
      <c r="AC341" t="s">
        <v>2037</v>
      </c>
    </row>
    <row r="342" spans="24:29">
      <c r="X342" t="s">
        <v>2022</v>
      </c>
      <c r="Y342">
        <v>1000</v>
      </c>
      <c r="Z342" t="s">
        <v>2034</v>
      </c>
      <c r="AA342">
        <v>0</v>
      </c>
      <c r="AB342" t="s">
        <v>2027</v>
      </c>
      <c r="AC342" t="s">
        <v>2037</v>
      </c>
    </row>
    <row r="343" spans="24:29">
      <c r="X343" t="s">
        <v>2100</v>
      </c>
      <c r="Y343">
        <v>3785</v>
      </c>
      <c r="Z343" t="s">
        <v>2034</v>
      </c>
      <c r="AA343">
        <v>0</v>
      </c>
      <c r="AB343" t="s">
        <v>2027</v>
      </c>
      <c r="AC343" t="s">
        <v>2037</v>
      </c>
    </row>
    <row r="344" spans="24:29">
      <c r="X344" t="s">
        <v>2099</v>
      </c>
      <c r="Y344">
        <v>28317</v>
      </c>
      <c r="Z344" t="s">
        <v>2034</v>
      </c>
      <c r="AA344">
        <v>0</v>
      </c>
      <c r="AB344" t="s">
        <v>2027</v>
      </c>
      <c r="AC344" t="s">
        <v>2037</v>
      </c>
    </row>
    <row r="345" spans="24:29">
      <c r="X345" t="s">
        <v>2023</v>
      </c>
      <c r="Y345">
        <v>61024</v>
      </c>
      <c r="Z345" t="s">
        <v>2098</v>
      </c>
      <c r="AA345">
        <v>0</v>
      </c>
      <c r="AB345" t="s">
        <v>2027</v>
      </c>
      <c r="AC345" t="s">
        <v>2037</v>
      </c>
    </row>
    <row r="346" spans="24:29">
      <c r="X346" t="s">
        <v>2023</v>
      </c>
      <c r="Y346">
        <v>1000000</v>
      </c>
      <c r="Z346" t="s">
        <v>2034</v>
      </c>
      <c r="AA346">
        <v>0</v>
      </c>
      <c r="AB346" t="s">
        <v>2027</v>
      </c>
      <c r="AC346" t="s">
        <v>2037</v>
      </c>
    </row>
    <row r="347" spans="24:29">
      <c r="X347" t="s">
        <v>2033</v>
      </c>
      <c r="Y347">
        <v>1000000000</v>
      </c>
      <c r="Z347" t="s">
        <v>2023</v>
      </c>
      <c r="AA347">
        <v>0</v>
      </c>
      <c r="AB347" t="s">
        <v>2027</v>
      </c>
      <c r="AC347" t="s">
        <v>2037</v>
      </c>
    </row>
  </sheetData>
  <mergeCells count="5">
    <mergeCell ref="A1:B1"/>
    <mergeCell ref="A3:E3"/>
    <mergeCell ref="F4:G4"/>
    <mergeCell ref="C4:D4"/>
    <mergeCell ref="X4:AC4"/>
  </mergeCells>
  <dataValidations count="2">
    <dataValidation type="list" allowBlank="1" showInputMessage="1" showErrorMessage="1" sqref="C4" xr:uid="{6367E9B4-4036-46A0-8BC8-66EFE055BC60}">
      <formula1>"Area,Length,Mass,Temperature,Volume"</formula1>
    </dataValidation>
    <dataValidation type="list" allowBlank="1" showInputMessage="1" showErrorMessage="1" sqref="F4" xr:uid="{269109A8-56C8-4B13-942F-6819A43C3F0F}">
      <formula1>"gm→kg,gm→lb,kg→lb,lb→gm,kg→gm,lb→kg"</formula1>
    </dataValidation>
  </dataValidations>
  <hyperlinks>
    <hyperlink ref="A1" location="Contents!A1" display="Back to Contents" xr:uid="{C8C0020D-A2C4-4C58-A649-4F198BE4D212}"/>
  </hyperlinks>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onvert">
          <controlPr defaultSize="0" autoLine="0" r:id="rId5">
            <anchor moveWithCells="1">
              <from>
                <xdr:col>13</xdr:col>
                <xdr:colOff>0</xdr:colOff>
                <xdr:row>2</xdr:row>
                <xdr:rowOff>0</xdr:rowOff>
              </from>
              <to>
                <xdr:col>14</xdr:col>
                <xdr:colOff>556260</xdr:colOff>
                <xdr:row>3</xdr:row>
                <xdr:rowOff>121920</xdr:rowOff>
              </to>
            </anchor>
          </controlPr>
        </control>
      </mc:Choice>
      <mc:Fallback>
        <control shapeId="6145" r:id="rId4" name="Convert"/>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F8F5C-4714-4E09-A17F-42E39BAD9CF5}">
  <sheetPr codeName="Sheet7">
    <tabColor theme="3" tint="0.39997558519241921"/>
  </sheetPr>
  <dimension ref="A1:B1"/>
  <sheetViews>
    <sheetView workbookViewId="0">
      <selection activeCell="G21" sqref="G21"/>
    </sheetView>
  </sheetViews>
  <sheetFormatPr defaultRowHeight="14.4"/>
  <sheetData>
    <row r="1" spans="1:2">
      <c r="A1" s="41" t="s">
        <v>1978</v>
      </c>
      <c r="B1" s="41"/>
    </row>
  </sheetData>
  <mergeCells count="1">
    <mergeCell ref="A1:B1"/>
  </mergeCells>
  <hyperlinks>
    <hyperlink ref="A1" location="Contents!A1" display="Back to Contents" xr:uid="{A06EDCCC-5443-4331-B6DB-FF9D0EF891B2}"/>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D574F84-C6FA-4FE4-A387-E7346CC8C2C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Contents</vt:lpstr>
      <vt:lpstr>Disclaimer</vt:lpstr>
      <vt:lpstr>TimeZone</vt:lpstr>
      <vt:lpstr>Track</vt:lpstr>
      <vt:lpstr>Container Calculator</vt:lpstr>
      <vt:lpstr>UnitConversions</vt:lpstr>
      <vt:lpstr>Ex-Rate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夏昕 李</cp:lastModifiedBy>
  <dcterms:created xsi:type="dcterms:W3CDTF">2015-06-05T18:19:34Z</dcterms:created>
  <dcterms:modified xsi:type="dcterms:W3CDTF">2025-05-01T15:10:24Z</dcterms:modified>
</cp:coreProperties>
</file>